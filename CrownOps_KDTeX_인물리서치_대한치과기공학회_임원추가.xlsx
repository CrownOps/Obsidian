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ef1528536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핵심 요약" sheetId="1" r:id="R585a0136d910470f"/>
    <x:sheet xmlns:r="http://schemas.openxmlformats.org/officeDocument/2006/relationships" name="인물별 리서치" sheetId="2" r:id="Rc8e9a5a0ffc94327"/>
    <x:sheet xmlns:r="http://schemas.openxmlformats.org/officeDocument/2006/relationships" name="권장 액션" sheetId="3" r:id="R9e018461550e43da"/>
    <x:sheet xmlns:r="http://schemas.openxmlformats.org/officeDocument/2006/relationships" name="치과기공학회 임원" sheetId="4" r:id="R6707edee3474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45E"/>
      <x:name val="Carlito"/>
    </x:font>
    <x:font>
      <x:b/>
      <x:sz val="11"/>
      <x:color rgb="FFFFFFFF"/>
      <x:name val="Carlito"/>
    </x:font>
    <x:font>
      <x:i/>
      <x:sz val="10"/>
      <x:color rgb="FF405A63"/>
      <x:name val="Carlito"/>
    </x:font>
    <x:font>
      <x:b/>
      <x:sz val="12"/>
      <x:color rgb="FFFFFFFF"/>
      <x:name val="Carlito"/>
    </x:font>
    <x:font>
      <x:b/>
      <x:sz val="10"/>
      <x:color rgb="FF173E4A"/>
      <x:name val="Carlito"/>
    </x:font>
    <x:font>
      <x:sz val="10"/>
      <x:color rgb="FF24383F"/>
      <x:name val="Carlito"/>
    </x:font>
    <x:font>
      <x:b/>
      <x:sz val="17"/>
      <x:color rgb="FFFFFFFF"/>
      <x:name val="Carlito"/>
    </x:font>
    <x:font>
      <x:i/>
      <x:sz val="10"/>
      <x:color rgb="FF3C5660"/>
      <x:name val="Carlito"/>
    </x:font>
    <x:font>
      <x:b/>
      <x:sz val="11"/>
      <x:color rgb="FF173E4A"/>
      <x:name val="Carlito"/>
    </x:font>
    <x:font>
      <x:sz val="9"/>
      <x:color rgb="FF4A626B"/>
      <x:name val="Carlito"/>
    </x:font>
    <x:font>
      <x:sz val="9"/>
      <x:color rgb="FF6F4E17"/>
      <x:name val="Carlito"/>
    </x:font>
    <x:font>
      <x:b/>
      <x:sz val="10"/>
      <x:color rgb="FFFFFFFF"/>
      <x:name val="Carlito"/>
    </x:font>
    <x:font>
      <x:sz val="9"/>
      <x:color rgb="FF24383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1F4"/>
      </x:patternFill>
    </x:fill>
    <x:fill>
      <x:patternFill patternType="solid">
        <x:fgColor rgb="FF1F5A6B"/>
      </x:patternFill>
    </x:fill>
    <x:fill>
      <x:patternFill patternType="solid">
        <x:fgColor rgb="FF103F4D"/>
      </x:patternFill>
    </x:fill>
    <x:fill>
      <x:patternFill patternType="solid">
        <x:fgColor rgb="FFE7F1F5"/>
      </x:patternFill>
    </x:fill>
    <x:fill>
      <x:patternFill patternType="solid">
        <x:fgColor rgb="FF1D6678"/>
      </x:patternFill>
    </x:fill>
    <x:fill>
      <x:patternFill patternType="solid">
        <x:fgColor rgb="FFD6EAF2"/>
      </x:patternFill>
    </x:fill>
    <x:fill>
      <x:patternFill patternType="solid">
        <x:fgColor rgb="FFF8FBFC"/>
      </x:patternFill>
    </x:fill>
    <x:fill>
      <x:patternFill patternType="solid">
        <x:fgColor rgb="FFEEF7FA"/>
      </x:patternFill>
    </x:fill>
    <x:fill>
      <x:patternFill patternType="solid">
        <x:fgColor rgb="FF103F4D"/>
      </x:patternFill>
    </x:fill>
    <x:fill>
      <x:patternFill patternType="solid">
        <x:fgColor rgb="FFE7F1F5"/>
      </x:patternFill>
    </x:fill>
    <x:fill>
      <x:patternFill patternType="solid">
        <x:fgColor rgb="FFD6EAF2"/>
      </x:patternFill>
    </x:fill>
    <x:fill>
      <x:patternFill patternType="solid">
        <x:fgColor rgb="FFF4F8FA"/>
      </x:patternFill>
    </x:fill>
    <x:fill>
      <x:patternFill patternType="solid">
        <x:fgColor rgb="FFFFF7E6"/>
      </x:patternFill>
    </x:fill>
    <x:fill>
      <x:patternFill patternType="solid">
        <x:fgColor rgb="FF1D6678"/>
      </x:patternFill>
    </x:fill>
    <x:fill>
      <x:patternFill patternType="solid">
        <x:fgColor rgb="FFF8FBFC"/>
      </x:patternFill>
    </x:fill>
    <x:fill>
      <x:patternFill patternType="solid">
        <x:fgColor rgb="FFEEF6F8"/>
      </x:patternFill>
    </x:fill>
  </x:fills>
  <x:borders count="4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AFC9D3"/>
      </x:left>
      <x:top style="thin">
        <x:color rgb="FFAFC9D3"/>
      </x:top>
      <x:bottom style="thin">
        <x:color rgb="FFAFC9D3"/>
      </x:bottom>
    </x:border>
    <x:border>
      <x:top style="thin">
        <x:color rgb="FFAFC9D3"/>
      </x:top>
      <x:bottom style="thin">
        <x:color rgb="FFAFC9D3"/>
      </x:bottom>
    </x:border>
    <x:border>
      <x:right style="thin">
        <x:color rgb="FFAFC9D3"/>
      </x:right>
      <x:top style="thin">
        <x:color rgb="FFAFC9D3"/>
      </x:top>
      <x:bottom style="thin">
        <x:color rgb="FFAFC9D3"/>
      </x:bottom>
    </x:border>
    <x:border>
      <x:left style="thin">
        <x:color rgb="FFAFC9D3"/>
      </x:left>
      <x:right style="thin">
        <x:color rgb="FFAFC9D3"/>
      </x:right>
      <x:top style="thin">
        <x:color rgb="FFAFC9D3"/>
      </x:top>
      <x:bottom style="thin">
        <x:color rgb="FFAFC9D3"/>
      </x:bottom>
    </x:border>
    <x:border>
      <x:left style="thin">
        <x:color rgb="FF0F4B59"/>
      </x:left>
      <x:top style="thin">
        <x:color rgb="FF0F4B59"/>
      </x:top>
      <x:bottom style="thin">
        <x:color rgb="FF0F4B59"/>
      </x:bottom>
    </x:border>
    <x:border>
      <x:top style="thin">
        <x:color rgb="FF0F4B59"/>
      </x:top>
      <x:bottom style="thin">
        <x:color rgb="FF0F4B59"/>
      </x:bottom>
    </x:border>
    <x:border>
      <x:right style="thin">
        <x:color rgb="FF0F4B59"/>
      </x:right>
      <x:top style="thin">
        <x:color rgb="FF0F4B59"/>
      </x:top>
      <x:bottom style="thin">
        <x:color rgb="FF0F4B59"/>
      </x:bottom>
    </x:border>
    <x:border>
      <x:left style="thin">
        <x:color rgb="FFC6D8DF"/>
      </x:left>
      <x:top style="thin">
        <x:color rgb="FFC6D8DF"/>
      </x:top>
    </x:border>
    <x:border>
      <x:top style="thin">
        <x:color rgb="FFC6D8DF"/>
      </x:top>
    </x:border>
    <x:border>
      <x:right style="thin">
        <x:color rgb="FFC6D8DF"/>
      </x:right>
      <x:top style="thin">
        <x:color rgb="FFC6D8DF"/>
      </x:top>
    </x:border>
    <x:border>
      <x:left style="thin">
        <x:color rgb="FFC6D8DF"/>
      </x:left>
    </x:border>
    <x:border>
      <x:right style="thin">
        <x:color rgb="FFC6D8DF"/>
      </x:right>
    </x:border>
    <x:border>
      <x:left style="thin">
        <x:color rgb="FFC6D8DF"/>
      </x:left>
      <x:bottom style="thin">
        <x:color rgb="FFC6D8DF"/>
      </x:bottom>
    </x:border>
    <x:border>
      <x:bottom style="thin">
        <x:color rgb="FFC6D8DF"/>
      </x:bottom>
    </x:border>
    <x:border>
      <x:right style="thin">
        <x:color rgb="FFC6D8DF"/>
      </x:right>
      <x:bottom style="thin">
        <x:color rgb="FFC6D8DF"/>
      </x:bottom>
    </x:border>
    <x:border>
      <x:left style="thin">
        <x:color rgb="FFAFC9D3"/>
      </x:left>
      <x:right style="thin">
        <x:color rgb="FFAFC9D3"/>
      </x:right>
      <x:top style="thin">
        <x:color rgb="FFAFC9D3"/>
      </x:top>
    </x:border>
    <x:border>
      <x:left style="thin">
        <x:color rgb="FFAFC9D3"/>
      </x:left>
      <x:right style="thin">
        <x:color rgb="FFAFC9D3"/>
      </x:right>
    </x:border>
    <x:border>
      <x:left style="thin">
        <x:color rgb="FFAFC9D3"/>
      </x:left>
      <x:right style="thin">
        <x:color rgb="FFAFC9D3"/>
      </x:right>
      <x:bottom style="thin">
        <x:color rgb="FFAFC9D3"/>
      </x:bottom>
    </x:border>
  </x:borders>
  <x:cellStyleXfs count="1">
    <x:xf numFmtId="0" fontId="0" fillId="0" borderId="0"/>
  </x:cellStyleXfs>
  <x:cellXfs count="2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4" xfId="0" applyNumberFormat="1" applyFont="1" applyFill="1" applyBorder="1"/>
    <x:xf numFmtId="0" fontId="5" fillId="7" borderId="25" xfId="0" applyNumberFormat="1" applyFont="1" applyFill="1" applyBorder="1"/>
    <x:xf numFmtId="0" fontId="5" fillId="7" borderId="26" xfId="0" applyNumberFormat="1" applyFont="1" applyFill="1" applyBorder="1"/>
    <x:xf numFmtId="0" fontId="5" fillId="7" borderId="24" xfId="0" applyNumberFormat="1" applyFont="1" applyFill="1" applyBorder="1" applyAlignment="1">
      <x:alignment vertical="center"/>
    </x:xf>
    <x:xf numFmtId="0" fontId="5" fillId="7" borderId="25" xfId="0" applyNumberFormat="1" applyFont="1" applyFill="1" applyBorder="1" applyAlignment="1">
      <x:alignment vertical="center"/>
    </x:xf>
    <x:xf numFmtId="0" fontId="5" fillId="7" borderId="26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7" xfId="0" applyNumberFormat="1" applyFont="1" applyFill="1" applyBorder="1"/>
    <x:xf numFmtId="0" fontId="6" fillId="8" borderId="27" xfId="0" applyNumberFormat="1" applyFont="1" applyFill="1" applyBorder="1" applyAlignment="1">
      <x:alignment wrapText="1"/>
    </x:xf>
    <x:xf numFmtId="0" fontId="6" fillId="8" borderId="27" xfId="0" applyNumberFormat="1" applyFont="1" applyFill="1" applyBorder="1" applyAlignment="1">
      <x:alignment horizontal="center" wrapText="1"/>
    </x:xf>
    <x:xf numFmtId="0" fontId="6" fillId="8" borderId="2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4" xfId="0" applyNumberFormat="1" applyFont="1" applyFill="1" applyBorder="1"/>
    <x:xf numFmtId="0" fontId="7" fillId="9" borderId="25" xfId="0" applyNumberFormat="1" applyFont="1" applyFill="1" applyBorder="1"/>
    <x:xf numFmtId="0" fontId="7" fillId="9" borderId="26" xfId="0" applyNumberFormat="1" applyFont="1" applyFill="1" applyBorder="1"/>
    <x:xf numFmtId="0" fontId="7" fillId="9" borderId="24" xfId="0" applyNumberFormat="1" applyFont="1" applyFill="1" applyBorder="1" applyAlignment="1">
      <x:alignment wrapText="1"/>
    </x:xf>
    <x:xf numFmtId="0" fontId="7" fillId="9" borderId="25" xfId="0" applyNumberFormat="1" applyFont="1" applyFill="1" applyBorder="1" applyAlignment="1">
      <x:alignment wrapText="1"/>
    </x:xf>
    <x:xf numFmtId="0" fontId="7" fillId="9" borderId="26" xfId="0" applyNumberFormat="1" applyFont="1" applyFill="1" applyBorder="1" applyAlignment="1">
      <x:alignment wrapText="1"/>
    </x:xf>
    <x:xf numFmtId="0" fontId="7" fillId="9" borderId="24" xfId="0" applyNumberFormat="1" applyFont="1" applyFill="1" applyBorder="1" applyAlignment="1">
      <x:alignment vertical="center" wrapText="1"/>
    </x:xf>
    <x:xf numFmtId="0" fontId="7" fillId="9" borderId="25" xfId="0" applyNumberFormat="1" applyFont="1" applyFill="1" applyBorder="1" applyAlignment="1">
      <x:alignment vertical="center" wrapText="1"/>
    </x:xf>
    <x:xf numFmtId="0" fontId="7" fillId="9" borderId="26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24" xfId="0" applyNumberFormat="1" applyFont="1" applyFill="1" applyBorder="1"/>
    <x:xf numFmtId="0" fontId="7" fillId="10" borderId="25" xfId="0" applyNumberFormat="1" applyFont="1" applyFill="1" applyBorder="1"/>
    <x:xf numFmtId="0" fontId="7" fillId="10" borderId="26" xfId="0" applyNumberFormat="1" applyFont="1" applyFill="1" applyBorder="1"/>
    <x:xf numFmtId="0" fontId="7" fillId="10" borderId="24" xfId="0" applyNumberFormat="1" applyFont="1" applyFill="1" applyBorder="1" applyAlignment="1">
      <x:alignment wrapText="1"/>
    </x:xf>
    <x:xf numFmtId="0" fontId="7" fillId="10" borderId="25" xfId="0" applyNumberFormat="1" applyFont="1" applyFill="1" applyBorder="1" applyAlignment="1">
      <x:alignment wrapText="1"/>
    </x:xf>
    <x:xf numFmtId="0" fontId="7" fillId="10" borderId="26" xfId="0" applyNumberFormat="1" applyFont="1" applyFill="1" applyBorder="1" applyAlignment="1">
      <x:alignment wrapText="1"/>
    </x:xf>
    <x:xf numFmtId="0" fontId="7" fillId="10" borderId="24" xfId="0" applyNumberFormat="1" applyFont="1" applyFill="1" applyBorder="1" applyAlignment="1">
      <x:alignment vertical="center" wrapText="1"/>
    </x:xf>
    <x:xf numFmtId="0" fontId="7" fillId="10" borderId="25" xfId="0" applyNumberFormat="1" applyFont="1" applyFill="1" applyBorder="1" applyAlignment="1">
      <x:alignment vertical="center" wrapText="1"/>
    </x:xf>
    <x:xf numFmtId="0" fontId="7" fillId="10" borderId="26" xfId="0" applyNumberFormat="1" applyFont="1" applyFill="1" applyBorder="1" applyAlignment="1">
      <x:alignment vertical="center" wrapText="1"/>
    </x:xf>
    <x:xf numFmtId="0" fontId="5" fillId="7" borderId="25" xfId="0" applyNumberFormat="1" applyFont="1" applyFill="1" applyBorder="1" applyAlignment="1">
      <x:alignment vertical="center" wrapText="1"/>
    </x:xf>
    <x:xf numFmtId="0" fontId="5" fillId="7" borderId="26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24" xfId="0" applyNumberFormat="1" applyFont="1" applyFill="1" applyBorder="1"/>
    <x:xf numFmtId="0" fontId="10" fillId="13" borderId="25" xfId="0" applyNumberFormat="1" applyFont="1" applyFill="1" applyBorder="1"/>
    <x:xf numFmtId="0" fontId="10" fillId="13" borderId="26" xfId="0" applyNumberFormat="1" applyFont="1" applyFill="1" applyBorder="1"/>
    <x:xf numFmtId="0" fontId="10" fillId="13" borderId="24" xfId="0" applyNumberFormat="1" applyFont="1" applyFill="1" applyBorder="1" applyAlignment="1">
      <x:alignment horizontal="center"/>
    </x:xf>
    <x:xf numFmtId="0" fontId="10" fillId="13" borderId="25" xfId="0" applyNumberFormat="1" applyFont="1" applyFill="1" applyBorder="1" applyAlignment="1">
      <x:alignment horizontal="center"/>
    </x:xf>
    <x:xf numFmtId="0" fontId="10" fillId="13" borderId="26" xfId="0" applyNumberFormat="1" applyFont="1" applyFill="1" applyBorder="1" applyAlignment="1">
      <x:alignment horizontal="center"/>
    </x:xf>
    <x:xf numFmtId="0" fontId="10" fillId="13" borderId="24" xfId="0" applyNumberFormat="1" applyFont="1" applyFill="1" applyBorder="1" applyAlignment="1">
      <x:alignment horizontal="center" vertical="center"/>
    </x:xf>
    <x:xf numFmtId="0" fontId="10" fillId="13" borderId="25" xfId="0" applyNumberFormat="1" applyFont="1" applyFill="1" applyBorder="1" applyAlignment="1">
      <x:alignment horizontal="center" vertical="center"/>
    </x:xf>
    <x:xf numFmtId="0" fontId="10" fillId="13" borderId="26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24" xfId="0" applyNumberFormat="1" applyFont="1" applyFill="1" applyBorder="1"/>
    <x:xf numFmtId="0" fontId="11" fillId="14" borderId="25" xfId="0" applyNumberFormat="1" applyFont="1" applyFill="1" applyBorder="1"/>
    <x:xf numFmtId="0" fontId="11" fillId="14" borderId="26" xfId="0" applyNumberFormat="1" applyFont="1" applyFill="1" applyBorder="1"/>
    <x:xf numFmtId="0" fontId="11" fillId="14" borderId="24" xfId="0" applyNumberFormat="1" applyFont="1" applyFill="1" applyBorder="1" applyAlignment="1">
      <x:alignment wrapText="1"/>
    </x:xf>
    <x:xf numFmtId="0" fontId="11" fillId="14" borderId="25" xfId="0" applyNumberFormat="1" applyFont="1" applyFill="1" applyBorder="1" applyAlignment="1">
      <x:alignment wrapText="1"/>
    </x:xf>
    <x:xf numFmtId="0" fontId="11" fillId="14" borderId="26" xfId="0" applyNumberFormat="1" applyFont="1" applyFill="1" applyBorder="1" applyAlignment="1">
      <x:alignment wrapText="1"/>
    </x:xf>
    <x:xf numFmtId="0" fontId="11" fillId="14" borderId="24" xfId="0" applyNumberFormat="1" applyFont="1" applyFill="1" applyBorder="1" applyAlignment="1">
      <x:alignment vertical="center" wrapText="1"/>
    </x:xf>
    <x:xf numFmtId="0" fontId="11" fillId="14" borderId="25" xfId="0" applyNumberFormat="1" applyFont="1" applyFill="1" applyBorder="1" applyAlignment="1">
      <x:alignment vertical="center" wrapText="1"/>
    </x:xf>
    <x:xf numFmtId="0" fontId="11" fillId="14" borderId="26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28" xfId="0" applyNumberFormat="1" applyFont="1" applyFill="1" applyBorder="1"/>
    <x:xf numFmtId="0" fontId="13" fillId="16" borderId="29" xfId="0" applyNumberFormat="1" applyFont="1" applyFill="1" applyBorder="1"/>
    <x:xf numFmtId="0" fontId="13" fillId="16" borderId="30" xfId="0" applyNumberFormat="1" applyFont="1" applyFill="1" applyBorder="1"/>
    <x:xf numFmtId="0" fontId="13" fillId="16" borderId="28" xfId="0" applyNumberFormat="1" applyFont="1" applyFill="1" applyBorder="1" applyAlignment="1">
      <x:alignment wrapText="1"/>
    </x:xf>
    <x:xf numFmtId="0" fontId="13" fillId="16" borderId="29" xfId="0" applyNumberFormat="1" applyFont="1" applyFill="1" applyBorder="1" applyAlignment="1">
      <x:alignment wrapText="1"/>
    </x:xf>
    <x:xf numFmtId="0" fontId="13" fillId="16" borderId="30" xfId="0" applyNumberFormat="1" applyFont="1" applyFill="1" applyBorder="1" applyAlignment="1">
      <x:alignment wrapText="1"/>
    </x:xf>
    <x:xf numFmtId="0" fontId="13" fillId="16" borderId="28" xfId="0" applyNumberFormat="1" applyFont="1" applyFill="1" applyBorder="1" applyAlignment="1">
      <x:alignment horizontal="center" wrapText="1"/>
    </x:xf>
    <x:xf numFmtId="0" fontId="13" fillId="16" borderId="29" xfId="0" applyNumberFormat="1" applyFont="1" applyFill="1" applyBorder="1" applyAlignment="1">
      <x:alignment horizontal="center" wrapText="1"/>
    </x:xf>
    <x:xf numFmtId="0" fontId="13" fillId="16" borderId="30" xfId="0" applyNumberFormat="1" applyFont="1" applyFill="1" applyBorder="1" applyAlignment="1">
      <x:alignment horizontal="center" wrapText="1"/>
    </x:xf>
    <x:xf numFmtId="0" fontId="13" fillId="16" borderId="28" xfId="0" applyNumberFormat="1" applyFont="1" applyFill="1" applyBorder="1" applyAlignment="1">
      <x:alignment horizontal="center" vertical="center" wrapText="1"/>
    </x:xf>
    <x:xf numFmtId="0" fontId="13" fillId="16" borderId="29" xfId="0" applyNumberFormat="1" applyFont="1" applyFill="1" applyBorder="1" applyAlignment="1">
      <x:alignment horizontal="center" vertical="center" wrapText="1"/>
    </x:xf>
    <x:xf numFmtId="0" fontId="13" fillId="16" borderId="3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31" xfId="0" applyNumberFormat="1" applyFont="1" applyFill="1" applyBorder="1"/>
    <x:xf numFmtId="0" fontId="14" fillId="0" borderId="32" xfId="0" applyNumberFormat="1" applyFont="1" applyFill="1" applyBorder="1"/>
    <x:xf numFmtId="0" fontId="14" fillId="0" borderId="33" xfId="0" applyNumberFormat="1" applyFont="1" applyFill="1" applyBorder="1"/>
    <x:xf numFmtId="0" fontId="14" fillId="0" borderId="34" xfId="0" applyNumberFormat="1" applyFont="1" applyFill="1" applyBorder="1"/>
    <x:xf numFmtId="0" fontId="14" fillId="0" xfId="0" applyNumberFormat="1" applyFont="1" applyFill="1" applyBorder="0"/>
    <x:xf numFmtId="0" fontId="14" fillId="0" borderId="35" xfId="0" applyNumberFormat="1" applyFont="1" applyFill="1" applyBorder="1"/>
    <x:xf numFmtId="0" fontId="14" fillId="0" borderId="36" xfId="0" applyNumberFormat="1" applyFont="1" applyFill="1" applyBorder="1"/>
    <x:xf numFmtId="0" fontId="14" fillId="0" borderId="37" xfId="0" applyNumberFormat="1" applyFont="1" applyFill="1" applyBorder="1"/>
    <x:xf numFmtId="0" fontId="14" fillId="0" borderId="38" xfId="0" applyNumberFormat="1" applyFont="1" applyFill="1" applyBorder="1"/>
    <x:xf numFmtId="0" fontId="14" fillId="0" borderId="31" xfId="0" applyNumberFormat="1" applyFont="1" applyFill="1" applyBorder="1" applyAlignment="1">
      <x:alignment wrapText="1"/>
    </x:xf>
    <x:xf numFmtId="0" fontId="14" fillId="0" borderId="32" xfId="0" applyNumberFormat="1" applyFont="1" applyFill="1" applyBorder="1" applyAlignment="1">
      <x:alignment wrapText="1"/>
    </x:xf>
    <x:xf numFmtId="0" fontId="14" fillId="0" borderId="33" xfId="0" applyNumberFormat="1" applyFont="1" applyFill="1" applyBorder="1" applyAlignment="1">
      <x:alignment wrapText="1"/>
    </x:xf>
    <x:xf numFmtId="0" fontId="14" fillId="0" borderId="34" xfId="0" applyNumberFormat="1" applyFont="1" applyFill="1" applyBorder="1" applyAlignment="1">
      <x:alignment wrapText="1"/>
    </x:xf>
    <x:xf numFmtId="0" fontId="14" fillId="0" xfId="0" applyNumberFormat="1" applyFont="1" applyFill="1" applyBorder="0" applyAlignment="1">
      <x:alignment wrapText="1"/>
    </x:xf>
    <x:xf numFmtId="0" fontId="14" fillId="0" borderId="35" xfId="0" applyNumberFormat="1" applyFont="1" applyFill="1" applyBorder="1" applyAlignment="1">
      <x:alignment wrapText="1"/>
    </x:xf>
    <x:xf numFmtId="0" fontId="14" fillId="0" borderId="36" xfId="0" applyNumberFormat="1" applyFont="1" applyFill="1" applyBorder="1" applyAlignment="1">
      <x:alignment wrapText="1"/>
    </x:xf>
    <x:xf numFmtId="0" fontId="14" fillId="0" borderId="37" xfId="0" applyNumberFormat="1" applyFont="1" applyFill="1" applyBorder="1" applyAlignment="1">
      <x:alignment wrapText="1"/>
    </x:xf>
    <x:xf numFmtId="0" fontId="14" fillId="0" borderId="38" xfId="0" applyNumberFormat="1" applyFont="1" applyFill="1" applyBorder="1" applyAlignment="1">
      <x:alignment wrapText="1"/>
    </x:xf>
    <x:xf numFmtId="0" fontId="14" fillId="0" borderId="31" xfId="0" applyNumberFormat="1" applyFont="1" applyFill="1" applyBorder="1" applyAlignment="1">
      <x:alignment vertical="top" wrapText="1"/>
    </x:xf>
    <x:xf numFmtId="0" fontId="14" fillId="0" borderId="32" xfId="0" applyNumberFormat="1" applyFont="1" applyFill="1" applyBorder="1" applyAlignment="1">
      <x:alignment vertical="top" wrapText="1"/>
    </x:xf>
    <x:xf numFmtId="0" fontId="14" fillId="0" borderId="33" xfId="0" applyNumberFormat="1" applyFont="1" applyFill="1" applyBorder="1" applyAlignment="1">
      <x:alignment vertical="top" wrapText="1"/>
    </x:xf>
    <x:xf numFmtId="0" fontId="14" fillId="0" borderId="34" xfId="0" applyNumberFormat="1" applyFont="1" applyFill="1" applyBorder="1" applyAlignment="1">
      <x:alignment vertical="top" wrapText="1"/>
    </x:xf>
    <x:xf numFmtId="0" fontId="14" fillId="0" xfId="0" applyNumberFormat="1" applyFont="1" applyFill="1" applyBorder="0" applyAlignment="1">
      <x:alignment vertical="top" wrapText="1"/>
    </x:xf>
    <x:xf numFmtId="0" fontId="14" fillId="0" borderId="35" xfId="0" applyNumberFormat="1" applyFont="1" applyFill="1" applyBorder="1" applyAlignment="1">
      <x:alignment vertical="top" wrapText="1"/>
    </x:xf>
    <x:xf numFmtId="0" fontId="14" fillId="0" borderId="36" xfId="0" applyNumberFormat="1" applyFont="1" applyFill="1" applyBorder="1" applyAlignment="1">
      <x:alignment vertical="top" wrapText="1"/>
    </x:xf>
    <x:xf numFmtId="0" fontId="14" fillId="0" borderId="37" xfId="0" applyNumberFormat="1" applyFont="1" applyFill="1" applyBorder="1" applyAlignment="1">
      <x:alignment vertical="top" wrapText="1"/>
    </x:xf>
    <x:xf numFmtId="0" fontId="14" fillId="0" borderId="38" xfId="0" applyNumberFormat="1" applyFont="1" applyFill="1" applyBorder="1" applyAlignment="1">
      <x:alignment vertical="top" wrapText="1"/>
    </x:xf>
    <x:xf numFmtId="0" fontId="14" fillId="17" borderId="31" xfId="0" applyNumberFormat="1" applyFont="1" applyFill="1" applyBorder="1" applyAlignment="1">
      <x:alignment vertical="top" wrapText="1"/>
    </x:xf>
    <x:xf numFmtId="0" fontId="14" fillId="17" borderId="32" xfId="0" applyNumberFormat="1" applyFont="1" applyFill="1" applyBorder="1" applyAlignment="1">
      <x:alignment vertical="top" wrapText="1"/>
    </x:xf>
    <x:xf numFmtId="0" fontId="14" fillId="17" borderId="33" xfId="0" applyNumberFormat="1" applyFont="1" applyFill="1" applyBorder="1" applyAlignment="1">
      <x:alignment vertical="top" wrapText="1"/>
    </x:xf>
    <x:xf numFmtId="0" fontId="14" fillId="18" borderId="34" xfId="0" applyNumberFormat="1" applyFont="1" applyFill="1" applyBorder="1" applyAlignment="1">
      <x:alignment vertical="top" wrapText="1"/>
    </x:xf>
    <x:xf numFmtId="0" fontId="14" fillId="18" xfId="0" applyNumberFormat="1" applyFont="1" applyFill="1" applyBorder="0" applyAlignment="1">
      <x:alignment vertical="top" wrapText="1"/>
    </x:xf>
    <x:xf numFmtId="0" fontId="14" fillId="18" borderId="35" xfId="0" applyNumberFormat="1" applyFont="1" applyFill="1" applyBorder="1" applyAlignment="1">
      <x:alignment vertical="top" wrapText="1"/>
    </x:xf>
    <x:xf numFmtId="0" fontId="14" fillId="17" borderId="34" xfId="0" applyNumberFormat="1" applyFont="1" applyFill="1" applyBorder="1" applyAlignment="1">
      <x:alignment vertical="top" wrapText="1"/>
    </x:xf>
    <x:xf numFmtId="0" fontId="14" fillId="17" xfId="0" applyNumberFormat="1" applyFont="1" applyFill="1" applyBorder="0" applyAlignment="1">
      <x:alignment vertical="top" wrapText="1"/>
    </x:xf>
    <x:xf numFmtId="0" fontId="14" fillId="17" borderId="35" xfId="0" applyNumberFormat="1" applyFont="1" applyFill="1" applyBorder="1" applyAlignment="1">
      <x:alignment vertical="top" wrapText="1"/>
    </x:xf>
    <x:xf numFmtId="0" fontId="14" fillId="17" borderId="36" xfId="0" applyNumberFormat="1" applyFont="1" applyFill="1" applyBorder="1" applyAlignment="1">
      <x:alignment vertical="top" wrapText="1"/>
    </x:xf>
    <x:xf numFmtId="0" fontId="14" fillId="17" borderId="37" xfId="0" applyNumberFormat="1" applyFont="1" applyFill="1" applyBorder="1" applyAlignment="1">
      <x:alignment vertical="top" wrapText="1"/>
    </x:xf>
    <x:xf numFmtId="0" fontId="14" fillId="17" borderId="38" xfId="0" applyNumberFormat="1" applyFont="1" applyFill="1" applyBorder="1" applyAlignment="1">
      <x:alignment vertical="top" wrapText="1"/>
    </x:xf>
    <x:xf numFmtId="0" fontId="14" fillId="17" borderId="31" xfId="0" applyNumberFormat="1" applyFont="1" applyFill="1" applyBorder="1" applyAlignment="1">
      <x:alignment horizontal="center" vertical="top" wrapText="1"/>
    </x:xf>
    <x:xf numFmtId="0" fontId="14" fillId="17" borderId="32" xfId="0" applyNumberFormat="1" applyFont="1" applyFill="1" applyBorder="1" applyAlignment="1">
      <x:alignment horizontal="center" vertical="top" wrapText="1"/>
    </x:xf>
    <x:xf numFmtId="0" fontId="14" fillId="18" borderId="34" xfId="0" applyNumberFormat="1" applyFont="1" applyFill="1" applyBorder="1" applyAlignment="1">
      <x:alignment horizontal="center" vertical="top" wrapText="1"/>
    </x:xf>
    <x:xf numFmtId="0" fontId="14" fillId="18" xfId="0" applyNumberFormat="1" applyFont="1" applyFill="1" applyBorder="0" applyAlignment="1">
      <x:alignment horizontal="center" vertical="top" wrapText="1"/>
    </x:xf>
    <x:xf numFmtId="0" fontId="14" fillId="17" borderId="34" xfId="0" applyNumberFormat="1" applyFont="1" applyFill="1" applyBorder="1" applyAlignment="1">
      <x:alignment horizontal="center" vertical="top" wrapText="1"/>
    </x:xf>
    <x:xf numFmtId="0" fontId="14" fillId="17" xfId="0" applyNumberFormat="1" applyFont="1" applyFill="1" applyBorder="0" applyAlignment="1">
      <x:alignment horizontal="center" vertical="top" wrapText="1"/>
    </x:xf>
    <x:xf numFmtId="0" fontId="14" fillId="17" borderId="36" xfId="0" applyNumberFormat="1" applyFont="1" applyFill="1" applyBorder="1" applyAlignment="1">
      <x:alignment horizontal="center" vertical="top" wrapText="1"/>
    </x:xf>
    <x:xf numFmtId="0" fontId="14" fillId="17" borderId="37" xfId="0" applyNumberFormat="1" applyFont="1" applyFill="1" applyBorder="1" applyAlignment="1">
      <x:alignment horizontal="center" vertical="top" wrapText="1"/>
    </x:xf>
    <x:xf numFmtId="0" fontId="14" fillId="17" borderId="33" xfId="0" applyNumberFormat="1" applyFont="1" applyFill="1" applyBorder="1" applyAlignment="1">
      <x:alignment horizontal="center" vertical="top" wrapText="1"/>
    </x:xf>
    <x:xf numFmtId="0" fontId="14" fillId="18" borderId="35" xfId="0" applyNumberFormat="1" applyFont="1" applyFill="1" applyBorder="1" applyAlignment="1">
      <x:alignment horizontal="center" vertical="top" wrapText="1"/>
    </x:xf>
    <x:xf numFmtId="0" fontId="14" fillId="17" borderId="35" xfId="0" applyNumberFormat="1" applyFont="1" applyFill="1" applyBorder="1" applyAlignment="1">
      <x:alignment horizontal="center" vertical="top" wrapText="1"/>
    </x:xf>
    <x:xf numFmtId="0" fontId="14" fillId="17" borderId="38" xfId="0" applyNumberFormat="1" applyFont="1" applyFill="1" applyBorder="1" applyAlignment="1">
      <x:alignment horizontal="center" vertical="top" wrapText="1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10" fillId="13" borderId="39" xfId="0" applyNumberFormat="1" applyFont="1" applyFill="1" applyBorder="1"/>
    <x:xf numFmtId="0" fontId="10" fillId="13" borderId="40" xfId="0" applyNumberFormat="1" applyFont="1" applyFill="1" applyBorder="1"/>
    <x:xf numFmtId="0" fontId="10" fillId="13" borderId="41" xfId="0" applyNumberFormat="1" applyFont="1" applyFill="1" applyBorder="1"/>
    <x:xf numFmtId="0" fontId="10" fillId="13" borderId="39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41" xfId="0" applyNumberFormat="1" applyFont="1" applyFill="1" applyBorder="1" applyAlignment="1">
      <x:alignment wrapText="1"/>
    </x:xf>
    <x:xf numFmtId="0" fontId="10" fillId="13" borderId="39" xfId="0" applyNumberFormat="1" applyFont="1" applyFill="1" applyBorder="1" applyAlignment="1">
      <x:alignment horizontal="center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41" xfId="0" applyNumberFormat="1" applyFont="1" applyFill="1" applyBorder="1" applyAlignment="1">
      <x:alignment horizont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24" xfId="0" applyNumberFormat="1" applyFont="1" applyFill="1" applyBorder="1"/>
    <x:xf numFmtId="0" fontId="14" fillId="17" borderId="25" xfId="0" applyNumberFormat="1" applyFont="1" applyFill="1" applyBorder="1"/>
    <x:xf numFmtId="0" fontId="14" fillId="17" borderId="26" xfId="0" applyNumberFormat="1" applyFont="1" applyFill="1" applyBorder="1"/>
    <x:xf numFmtId="0" fontId="14" fillId="17" borderId="24" xfId="0" applyNumberFormat="1" applyFont="1" applyFill="1" applyBorder="1" applyAlignment="1">
      <x:alignment wrapText="1"/>
    </x:xf>
    <x:xf numFmtId="0" fontId="14" fillId="17" borderId="25" xfId="0" applyNumberFormat="1" applyFont="1" applyFill="1" applyBorder="1" applyAlignment="1">
      <x:alignment wrapText="1"/>
    </x:xf>
    <x:xf numFmtId="0" fontId="14" fillId="17" borderId="26" xfId="0" applyNumberFormat="1" applyFont="1" applyFill="1" applyBorder="1" applyAlignment="1">
      <x:alignment wrapText="1"/>
    </x:xf>
    <x:xf numFmtId="0" fontId="14" fillId="17" borderId="24" xfId="0" applyNumberFormat="1" applyFont="1" applyFill="1" applyBorder="1" applyAlignment="1">
      <x:alignment vertical="center" wrapText="1"/>
    </x:xf>
    <x:xf numFmtId="0" fontId="14" fillId="17" borderId="25" xfId="0" applyNumberFormat="1" applyFont="1" applyFill="1" applyBorder="1" applyAlignment="1">
      <x:alignment vertical="center" wrapText="1"/>
    </x:xf>
    <x:xf numFmtId="0" fontId="14" fillId="17" borderId="26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/>
    <x:xf numFmtId="0" fontId="7" fillId="12" borderId="24" xfId="0" applyNumberFormat="1" applyFont="1" applyFill="1" applyBorder="1"/>
    <x:xf numFmtId="0" fontId="7" fillId="12" borderId="25" xfId="0" applyNumberFormat="1" applyFont="1" applyFill="1" applyBorder="1"/>
    <x:xf numFmtId="0" fontId="7" fillId="12" borderId="26" xfId="0" applyNumberFormat="1" applyFont="1" applyFill="1" applyBorder="1"/>
    <x:xf numFmtId="0" fontId="7" fillId="12" borderId="24" xfId="0" applyNumberFormat="1" applyFont="1" applyFill="1" applyBorder="1" applyAlignment="1">
      <x:alignment wrapText="1"/>
    </x:xf>
    <x:xf numFmtId="0" fontId="7" fillId="12" borderId="25" xfId="0" applyNumberFormat="1" applyFont="1" applyFill="1" applyBorder="1" applyAlignment="1">
      <x:alignment wrapText="1"/>
    </x:xf>
    <x:xf numFmtId="0" fontId="7" fillId="12" borderId="26" xfId="0" applyNumberFormat="1" applyFont="1" applyFill="1" applyBorder="1" applyAlignment="1">
      <x:alignment wrapText="1"/>
    </x:xf>
    <x:xf numFmtId="0" fontId="7" fillId="12" borderId="24" xfId="0" applyNumberFormat="1" applyFont="1" applyFill="1" applyBorder="1" applyAlignment="1">
      <x:alignment vertical="center" wrapText="1"/>
    </x:xf>
    <x:xf numFmtId="0" fontId="7" fillId="12" borderId="25" xfId="0" applyNumberFormat="1" applyFont="1" applyFill="1" applyBorder="1" applyAlignment="1">
      <x:alignment vertical="center" wrapText="1"/>
    </x:xf>
    <x:xf numFmtId="0" fontId="7" fillId="12" borderId="26" xfId="0" applyNumberFormat="1" applyFont="1" applyFill="1" applyBorder="1" applyAlignment="1">
      <x:alignment vertical="center" wrapText="1"/>
    </x:xf>
    <x:xf numFmtId="0" fontId="6" fillId="12" borderId="2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23633A"/>
      </x:font>
      <x:fill>
        <x:patternFill>
          <x:bgColor rgb="FFDFF3E4"/>
        </x:patternFill>
      </x:fill>
    </x:dxf>
    <x:dxf>
      <x:font>
        <x:b/>
        <x:color rgb="FF7A5A00"/>
      </x:font>
      <x:fill>
        <x:patternFill>
          <x:bgColor rgb="FFFFF4D6"/>
        </x:patternFill>
      </x:fill>
    </x:dxf>
    <x:dxf>
      <x:font>
        <x:b/>
        <x:color rgb="FF23633A"/>
      </x:font>
      <x:fill>
        <x:patternFill>
          <x:bgColor rgb="FFDFF3E4"/>
        </x:patternFill>
      </x:fill>
    </x:dxf>
    <x:dxf>
      <x:font>
        <x:b/>
        <x:color rgb="FF7A5A00"/>
      </x:font>
      <x:fill>
        <x:patternFill>
          <x:bgColor rgb="FFFFF4D6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7A5600"/>
      </x:font>
      <x:fill>
        <x:patternFill patternType="solid">
          <x:bgColor rgb="FFFFF2CC"/>
        </x:patternFill>
      </x:fill>
    </x:dxf>
    <x:dxf>
      <x:font>
        <x:b/>
        <x:color rgb="FF8A2D2D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66f8ec2d24ed5" /><Relationship Type="http://schemas.openxmlformats.org/officeDocument/2006/relationships/theme" Target="/xl/theme/theme1.xml" Id="Rc470c3c96f404958" /><Relationship Type="http://schemas.openxmlformats.org/officeDocument/2006/relationships/sharedStrings" Target="/xl/sharedStrings.xml" Id="R79ccff48da8f4c81" /><Relationship Type="http://schemas.openxmlformats.org/officeDocument/2006/relationships/worksheet" Target="/xl/worksheets/sheet1.xml" Id="R585a0136d910470f" /><Relationship Type="http://schemas.openxmlformats.org/officeDocument/2006/relationships/worksheet" Target="/xl/worksheets/sheet2.xml" Id="Rc8e9a5a0ffc94327" /><Relationship Type="http://schemas.openxmlformats.org/officeDocument/2006/relationships/worksheet" Target="/xl/worksheets/sheet3.xml" Id="R9e018461550e43da" /><Relationship Type="http://schemas.openxmlformats.org/officeDocument/2006/relationships/worksheet" Target="/xl/worksheets/sheet4.xml" Id="R6707edee34744119" /></Relationships>
</file>

<file path=xl/tables/table1.xml><?xml version="1.0" encoding="utf-8"?>
<x:table xmlns:x="http://schemas.openxmlformats.org/spreadsheetml/2006/main" id="1" name="SummaryTable" displayName="SummaryTable" ref="A4:D12" headerRowCount="1">
  <x:tableColumns count="4">
    <x:tableColumn id="1" name="구분"/>
    <x:tableColumn id="2" name="핵심 내용"/>
    <x:tableColumn id="3" name="실무적 의미"/>
    <x:tableColumn id="4" name="근거/비고"/>
  </x:tableColumns>
  <x:tableStyleInfo name="TableStyleMedium2" showRowStripes="1"/>
</x:table>
</file>

<file path=xl/tables/table2.xml><?xml version="1.0" encoding="utf-8"?>
<x:table xmlns:x="http://schemas.openxmlformats.org/spreadsheetml/2006/main" id="2" name="PeopleResearchTable" displayName="PeopleResearchTable" ref="A4:L9" headerRowCount="1">
  <x:tableColumns count="12">
    <x:tableColumn id="1" name="순번"/>
    <x:tableColumn id="2" name="이름"/>
    <x:tableColumn id="3" name="현재 직책/소속"/>
    <x:tableColumn id="4" name="전문분야/키워드"/>
    <x:tableColumn id="5" name="핵심 요약"/>
    <x:tableColumn id="6" name="최근 활동"/>
    <x:tableColumn id="7" name="공개 연락처/프로필"/>
    <x:tableColumn id="8" name="CrownOps와의 연관성"/>
    <x:tableColumn id="9" name="기대되는 도움"/>
    <x:tableColumn id="10" name="우선순위"/>
    <x:tableColumn id="11" name="출처/근거"/>
    <x:tableColumn id="12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ActionPlanTable" displayName="ActionPlanTable" ref="A4:F20" headerRowCount="1">
  <x:tableColumns count="6">
    <x:tableColumn id="1" name="접촉 순서"/>
    <x:tableColumn id="2" name="이름"/>
    <x:tableColumn id="3" name="우선순위"/>
    <x:tableColumn id="4" name="접근 목적"/>
    <x:tableColumn id="5" name="실질적 액션 제안"/>
    <x:tableColumn id="6" name="접근 시 유의점"/>
  </x:tableColumns>
  <x:tableStyleInfo name="TableStyleMedium2" showRowStripes="1"/>
</x:table>
</file>

<file path=xl/tables/table4.xml><?xml version="1.0" encoding="utf-8"?>
<x:table xmlns:x="http://schemas.openxmlformats.org/spreadsheetml/2006/main" id="4" name="DentalSocietyExecutivesTable" displayName="DentalSocietyExecutivesTable" ref="A7:N22" headerRowCount="1">
  <x:tableColumns count="14">
    <x:tableColumn id="1" name="학회 직책"/>
    <x:tableColumn id="2" name="이름"/>
    <x:tableColumn id="3" name="확인된 현직·소속"/>
    <x:tableColumn id="4" name="학력"/>
    <x:tableColumn id="5" name="이전 경력·창업"/>
    <x:tableColumn id="6" name="언론·기고 활동"/>
    <x:tableColumn id="7" name="주된 전문 분야"/>
    <x:tableColumn id="8" name="대표 성과"/>
    <x:tableColumn id="9" name="최근 성과"/>
    <x:tableColumn id="10" name="확인 상태"/>
    <x:tableColumn id="11" name="검증 등급"/>
    <x:tableColumn id="12" name="특이사항·CrownOps 접점"/>
    <x:tableColumn id="13" name="출처 URL"/>
    <x:tableColumn id="14" name="조사 기준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bfee79292048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292ddde70a45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232c85e55844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d0c4fb59e1475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6" hidden="0" customWidth="1"/>
    <x:col min="4" max="4" width="34" hidden="0" customWidth="1"/>
  </x:cols>
  <x:sheetData>
    <x:row r="1" ht="30" customHeight="1">
      <x:c r="A1" s="5" t="str">
        <x:v>CrownOps 관점 KDTeX 연자·임원 심층 리서치</x:v>
      </x:c>
      <x:c r="B1" s="5"/>
      <x:c r="C1" s="5"/>
      <x:c r="D1" s="5"/>
    </x:row>
    <x:row r="2" ht="24" customHeight="1">
      <x:c r="A2" s="13" t="str">
        <x:v>사진·차트·관계도를 제외하고 텍스트 정보만 스프레드시트 형태로 재구성</x:v>
      </x:c>
      <x:c r="B2" s="13"/>
      <x:c r="C2" s="13"/>
      <x:c r="D2" s="13"/>
    </x:row>
    <x:row r="4" ht="32" customHeight="1">
      <x:c r="A4" s="29" t="str">
        <x:v>구분</x:v>
      </x:c>
      <x:c r="B4" s="30" t="str">
        <x:v>핵심 내용</x:v>
      </x:c>
      <x:c r="C4" s="30" t="str">
        <x:v>실무적 의미</x:v>
      </x:c>
      <x:c r="D4" s="31" t="str">
        <x:v>근거/비고</x:v>
      </x:c>
    </x:row>
    <x:row r="5" ht="58" customHeight="1">
      <x:c r="A5" s="64" t="str">
        <x:v>Executive Summary</x:v>
      </x:c>
      <x:c r="B5" s="65" t="str">
        <x:v>검증 가능한 공개 정보 기준으로 CrownOps와의 사업 연계성이 가장 높은 축은 웰트–세브란스–한독으로 정리됨.</x:v>
      </x:c>
      <x:c r="C5" s="65" t="str">
        <x:v>제품 운영자, 임상 KOL, 제약·유통 의사결정자를 순차적으로 접촉하는 전략이 현실적임.</x:v>
      </x:c>
      <x:c r="D5" s="66" t="str">
        <x:v>원문 KDTeX 전체 명단의 완전 재현본이 아닌 고신뢰 베스트에포트 결과</x:v>
      </x:c>
    </x:row>
    <x:row r="6" ht="58" customHeight="1">
      <x:c r="A6" s="67" t="str">
        <x:v>최우선 접촉 대상</x:v>
      </x:c>
      <x:c r="B6" s="68" t="str">
        <x:v>강성지, 이은, 김영진</x:v>
      </x:c>
      <x:c r="C6" s="68" t="str">
        <x:v>강성지: 운영·상용화 / 이은: 임상 검증 / 김영진: 유통·시장접근</x:v>
      </x:c>
      <x:c r="D6" s="69" t="str">
        <x:v>높음 3명</x:v>
      </x:c>
    </x:row>
    <x:row r="7" ht="58" customHeight="1">
      <x:c r="A7" s="67" t="str">
        <x:v>중간 우선순위</x:v>
      </x:c>
      <x:c r="B7" s="68" t="str">
        <x:v>백진기, 이유진</x:v>
      </x:c>
      <x:c r="C7" s="68" t="str">
        <x:v>백진기: 조직 실행·도입 / 이유진: 사용자 온보딩·행동변화 설계</x:v>
      </x:c>
      <x:c r="D7" s="69" t="str">
        <x:v>중간 2명</x:v>
      </x:c>
    </x:row>
    <x:row r="8" ht="58" customHeight="1">
      <x:c r="A8" s="67" t="str">
        <x:v>사업 구조</x:v>
      </x:c>
      <x:c r="B8" s="68" t="str">
        <x:v>웰트가 디지털치료기기를 만들고, 세브란스병원 이은 교수팀이 임상·처방 접점을 만들며, 한독이 공동개발·유통 축에 서는 구조.</x:v>
      </x:c>
      <x:c r="C8" s="68" t="str">
        <x:v>CrownOps가 운영 자동화, 파트너 온보딩, B2B SaaS 운영체계로 연결될 가능성이 있음.</x:v>
      </x:c>
      <x:c r="D8" s="69" t="str">
        <x:v>비대면 진료 플랫폼과 병원 네트워크로 환자 접근성 확장</x:v>
      </x:c>
    </x:row>
    <x:row r="9" ht="58" customHeight="1">
      <x:c r="A9" s="67" t="str">
        <x:v>핵심 선별 기준</x:v>
      </x:c>
      <x:c r="B9" s="68" t="str">
        <x:v>사업 직접성, 공개 신호의 강도, CrownOps와 연결될 운영 복잡도, 소개·파일럿 가능성</x:v>
      </x:c>
      <x:c r="C9" s="68" t="str">
        <x:v>단순 유명도보다 실제 운영 복잡도를 가진 인물을 우선함.</x:v>
      </x:c>
      <x:c r="D9" s="69" t="str">
        <x:v>네트워킹 우선순위 산정 기준</x:v>
      </x:c>
    </x:row>
    <x:row r="10" ht="58" customHeight="1">
      <x:c r="A10" s="67" t="str">
        <x:v>권장 공략 순서</x:v>
      </x:c>
      <x:c r="B10" s="68" t="str">
        <x:v>강성지 → 이은 → 김영진 → 백진기 → 이유진</x:v>
      </x:c>
      <x:c r="C10" s="68" t="str">
        <x:v>운영 문제정의 → 임상 현실성 검증 → 조직적 파트너십 확대 → 실행·교육 보완</x:v>
      </x:c>
      <x:c r="D10" s="69" t="str">
        <x:v>실무적 접근 순서</x:v>
      </x:c>
    </x:row>
    <x:row r="11" ht="58" customHeight="1">
      <x:c r="A11" s="67" t="str">
        <x:v>조사 한계</x:v>
      </x:c>
      <x:c r="B11" s="68" t="str">
        <x:v>KDTeX 원문 페이지 접근 실패로 전체 연자·임원 명단을 완전하게 재현하지 못함.</x:v>
      </x:c>
      <x:c r="C11" s="68" t="str">
        <x:v>공식 기관·회사 페이지와 주요 보도에서 직접 검증 가능한 인물만 남김.</x:v>
      </x:c>
      <x:c r="D11" s="69" t="str">
        <x:v>원문 보고서의 한계사항 유지</x:v>
      </x:c>
    </x:row>
    <x:row r="12" ht="58" customHeight="1">
      <x:c r="A12" s="70" t="str">
        <x:v>우선 실행안</x:v>
      </x:c>
      <x:c r="B12" s="71" t="str">
        <x:v>높음 그룹 3명부터 소개 요청, 인터뷰, 자문 또는 PoC 제안으로 접근</x:v>
      </x:c>
      <x:c r="C12" s="71" t="str">
        <x:v>처음부터 대규모 제휴보다 30분 인터뷰·짧은 진단 워크숍이 적합함.</x:v>
      </x:c>
      <x:c r="D12" s="72" t="str">
        <x:v>강성지–이은–김영진 중심</x:v>
      </x:c>
    </x:row>
    <x:row r="14" ht="52" customHeight="1">
      <x:c r="A14" s="294" t="str">
        <x:v>대한치과기공학회 임원 조사</x:v>
      </x:c>
      <x:c r="B14" s="292" t="str">
        <x:v>2026년 제19대 임원 15명의 직책을 공식 치과기보로 확인하고 별도 시트에 프로필을 추가함.</x:v>
      </x:c>
      <x:c r="C14" s="292" t="str">
        <x:v>이정수·이영준·김경임은 활동·성과까지 확인했으며, 공개 약력이 부족한 임원은 검증 등급 C와 미확인 표시를 적용함.</x:v>
      </x:c>
      <x:c r="D14" s="293" t="str">
        <x:v>별도 시트: 치과기공학회 임원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cbfee79292048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4" hidden="0" customWidth="1"/>
    <x:col min="4" max="4" width="34" hidden="0" customWidth="1"/>
    <x:col min="5" max="5" width="42" hidden="0" customWidth="1"/>
    <x:col min="6" max="6" width="46" hidden="0" customWidth="1"/>
    <x:col min="7" max="7" width="34" hidden="0" customWidth="1"/>
    <x:col min="8" max="8" width="48" hidden="0" customWidth="1"/>
    <x:col min="9" max="9" width="42" hidden="0" customWidth="1"/>
    <x:col min="10" max="10" width="12" hidden="0" customWidth="1"/>
    <x:col min="11" max="11" width="40" hidden="0" customWidth="1"/>
    <x:col min="12" max="12" width="34" hidden="0" customWidth="1"/>
  </x:cols>
  <x:sheetData>
    <x:row r="1" ht="30" customHeight="1">
      <x:c r="A1" s="5" t="str">
        <x:v>인물별 리서치 정리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3" t="str">
        <x:v>보고서의 인물별 설명을 한 행 단위로 정리했으며, 사진과 관계도는 제외함. 하단에는 학력·이전 경력·창업/기고 활동·주요 분야·대표 및 최근 성과를 연자별로 상세 정리함.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29" t="str">
        <x:v>순번</x:v>
      </x:c>
      <x:c r="B4" s="30" t="str">
        <x:v>이름</x:v>
      </x:c>
      <x:c r="C4" s="30" t="str">
        <x:v>현재 직책/소속</x:v>
      </x:c>
      <x:c r="D4" s="30" t="str">
        <x:v>전문분야/키워드</x:v>
      </x:c>
      <x:c r="E4" s="30" t="str">
        <x:v>핵심 요약</x:v>
      </x:c>
      <x:c r="F4" s="30" t="str">
        <x:v>최근 활동</x:v>
      </x:c>
      <x:c r="G4" s="30" t="str">
        <x:v>공개 연락처/프로필</x:v>
      </x:c>
      <x:c r="H4" s="30" t="str">
        <x:v>CrownOps와의 연관성</x:v>
      </x:c>
      <x:c r="I4" s="30" t="str">
        <x:v>기대되는 도움</x:v>
      </x:c>
      <x:c r="J4" s="30" t="str">
        <x:v>우선순위</x:v>
      </x:c>
      <x:c r="K4" s="30" t="str">
        <x:v>출처/근거</x:v>
      </x:c>
      <x:c r="L4" s="31" t="str">
        <x:v>비고</x:v>
      </x:c>
    </x:row>
    <x:row r="5" ht="110" customHeight="1">
      <x:c r="A5" s="99" t="n">
        <x:v>1</x:v>
      </x:c>
      <x:c r="B5" s="100" t="str">
        <x:v>강성지</x:v>
      </x:c>
      <x:c r="C5" s="65" t="str">
        <x:v>웰트 대표</x:v>
      </x:c>
      <x:c r="D5" s="65" t="str">
        <x:v>디지털치료기기, 상용화, 비대면 처방, 해외확장, 파트너 운영, 환자 리텐션</x:v>
      </x:c>
      <x:c r="E5" s="65" t="str">
        <x:v>복잡한 파트너 운영 구조를 가진 운영형 대표로, 제품 자체보다 확장형 사업 구조와 운영 체계를 보는 인물.</x:v>
      </x:c>
      <x:c r="F5" s="65" t="str">
        <x:v>슬립큐 상용화, 독일 지사 설립, IFA 2024 참가, 비대면 수면관리, 폭식증·우울증 등 후속 DTx 확장 계획 공개</x:v>
      </x:c>
      <x:c r="G5" s="65" t="str">
        <x:v>웰트 공식 페이지 내 고객센터 전화·이메일·카카오 채널 등 공개 접점</x:v>
      </x:c>
      <x:c r="H5" s="65" t="str">
        <x:v>병원·제약사·비대면 플랫폼·보험·해외 현지화를 연결하는 운영 구조가 CrownOps의 운영 자동화 및 GTM 인프라와 직접 맞닿음.</x:v>
      </x:c>
      <x:c r="I5" s="65" t="str">
        <x:v>사업 문제정의, 운영 워크플로우 인터뷰, 해외 파트너 운영 PoC, 환자 리텐션·온보딩 자동화 검토</x:v>
      </x:c>
      <x:c r="J5" s="100" t="str">
        <x:v>높음</x:v>
      </x:c>
      <x:c r="K5" s="65" t="str">
        <x:v>웰트 공식 페이지 / 전자신문 인터뷰 / 한국경제 인터뷰 (원문 citation: turn40view0, turn46view0, turn47view0)</x:v>
      </x:c>
      <x:c r="L5" s="66" t="str">
        <x:v>가장 먼저 대화를 열 가치가 높은 대상</x:v>
      </x:c>
    </x:row>
    <x:row r="6" ht="110" customHeight="1">
      <x:c r="A6" s="101" t="n">
        <x:v>2</x:v>
      </x:c>
      <x:c r="B6" s="102" t="str">
        <x:v>이은</x:v>
      </x:c>
      <x:c r="C6" s="68" t="str">
        <x:v>세브란스병원 정신건강의학과 교수</x:v>
      </x:c>
      <x:c r="D6" s="68" t="str">
        <x:v>정신건강의학, 불면증, 디지털치료기기, 임상 도입, 처방 워크플로우, KOL</x:v>
      </x:c>
      <x:c r="E6" s="68" t="str">
        <x:v>상업화보다 임상 도입의 문턱을 실제로 넘긴 인물로, CrownOps의 의료현장 적합성과 도입 정당성을 검증할 수 있는 자문 축.</x:v>
      </x:c>
      <x:c r="F6" s="68" t="str">
        <x:v>슬립큐 개발 참여, 2024년 6월 세브란스병원에서 불면증 환자 대상 슬립큐 최초 처방</x:v>
      </x:c>
      <x:c r="G6" s="68" t="str">
        <x:v>직통 연락처는 보고서에서 확인되지 않음. 병원·학회·공동연구 경로 접근 권장</x:v>
      </x:c>
      <x:c r="H6" s="68" t="str">
        <x:v>병원 파일럿, 적응증별 도입장벽, 실제 진료흐름의 데이터·알림·상담·순응도 요구사항을 검증하는 데 적합.</x:v>
      </x:c>
      <x:c r="I6" s="68" t="str">
        <x:v>임상 워크플로우 자문, 병원 현장 인터뷰, 의료진 사용성 검토, 공동연구 가능성</x:v>
      </x:c>
      <x:c r="J6" s="102" t="str">
        <x:v>높음</x:v>
      </x:c>
      <x:c r="K6" s="68" t="str">
        <x:v>웰트 공식 페이지 / 코메디닷컴 보도 (원문 citation: turn40view0, turn46view1)</x:v>
      </x:c>
      <x:c r="L6" s="69" t="str">
        <x:v>직접 영업보다 자문·공동연구 방식이 적합</x:v>
      </x:c>
    </x:row>
    <x:row r="7" ht="110" customHeight="1">
      <x:c r="A7" s="101" t="n">
        <x:v>3</x:v>
      </x:c>
      <x:c r="B7" s="102" t="str">
        <x:v>이유진</x:v>
      </x:c>
      <x:c r="C7" s="68" t="str">
        <x:v>정신건강의학과 전문의, MD·MPH / 전 세브란스병원</x:v>
      </x:c>
      <x:c r="D7" s="68" t="str">
        <x:v>정신건강의학, 임상 커뮤니케이션, 사용자 온보딩, 행동변화, 순응도</x:v>
      </x:c>
      <x:c r="E7" s="68" t="str">
        <x:v>임상 권위 자체보다 제품 설명력과 사용자 순응도 설계에 가치가 있는 인터뷰 대상.</x:v>
      </x:c>
      <x:c r="F7" s="68" t="str">
        <x:v>임상 경험과 데이터를 바탕으로 슬립큐의 효과성을 설명하는 역할로 공식 페이지에 소개</x:v>
      </x:c>
      <x:c r="G7" s="68" t="str">
        <x:v>현재 주 소속기관 및 직통 공개 연락처는 보고서 기준 미확인</x:v>
      </x:c>
      <x:c r="H7" s="68" t="str">
        <x:v>환자·병원 사용자의 온보딩, 교육, 행동변화 메시지, FAQ·알림 구조를 임상 친화적으로 다듬는 데 연결 가능.</x:v>
      </x:c>
      <x:c r="I7" s="68" t="str">
        <x:v>온보딩 문구·FAQ 리뷰, 행동변화 메시지 인터뷰, 콘텐츠·리마인드 구조 검토</x:v>
      </x:c>
      <x:c r="J7" s="102" t="str">
        <x:v>중간</x:v>
      </x:c>
      <x:c r="K7" s="68" t="str">
        <x:v>웰트 공식 페이지 (원문 citation: turn40view0)</x:v>
      </x:c>
      <x:c r="L7" s="69" t="str">
        <x:v>현재 소속 및 접촉 경로 추가 확인 필요</x:v>
      </x:c>
    </x:row>
    <x:row r="8" ht="110" customHeight="1">
      <x:c r="A8" s="101" t="n">
        <x:v>4</x:v>
      </x:c>
      <x:c r="B8" s="102" t="str">
        <x:v>김영진</x:v>
      </x:c>
      <x:c r="C8" s="68" t="str">
        <x:v>한독 대표·회장</x:v>
      </x:c>
      <x:c r="D8" s="68" t="str">
        <x:v>제약, 디지털헬스케어, 유통, 상업화, 시장접근, 대기업 제휴</x:v>
      </x:c>
      <x:c r="E8" s="68" t="str">
        <x:v>제약·헬스케어 대기업 관점에서 디지털 사업을 붙일 수 있는 상위 파트너이자 유통·시장접근 의사결정자.</x:v>
      </x:c>
      <x:c r="F8" s="68" t="str">
        <x:v>슬립큐의 의료진·환자 이점 및 치료 참여율 향상 기대 발언, 한독 디지털헬스케어 포트폴리오와 슬립큐 사업 노출</x:v>
      </x:c>
      <x:c r="G8" s="68" t="str">
        <x:v>한독 공식 사이트 및 디지털헬스·신사업 조직을 통한 접촉 권장</x:v>
      </x:c>
      <x:c r="H8" s="68" t="str">
        <x:v>CrownOps의 엔터프라이즈 AI, 파트너 운영 포털, 영업·운영 자동화를 더 큰 조직과 예산으로 연결할 수 있음.</x:v>
      </x:c>
      <x:c r="I8" s="68" t="str">
        <x:v>신사업 담당 소개, 운영 효율 제안서, 공동세일즈·채널협업, 규제·시장접근 자문</x:v>
      </x:c>
      <x:c r="J8" s="102" t="str">
        <x:v>높음</x:v>
      </x:c>
      <x:c r="K8" s="68" t="str">
        <x:v>한독 공식 사이트 / 슬립큐 관련 보도 / 한독 제품·미디어룸 (원문 citation: turn52view0, turn46view1, turn65view0, turn66view0)</x:v>
      </x:c>
      <x:c r="L8" s="69" t="str">
        <x:v>대표 직접 접근 전 디지털헬스·신사업 실무 조직 접촉 권장</x:v>
      </x:c>
    </x:row>
    <x:row r="9" ht="110" customHeight="1">
      <x:c r="A9" s="103" t="n">
        <x:v>5</x:v>
      </x:c>
      <x:c r="B9" s="104" t="str">
        <x:v>백진기</x:v>
      </x:c>
      <x:c r="C9" s="71" t="str">
        <x:v>한독 대표</x:v>
      </x:c>
      <x:c r="D9" s="71" t="str">
        <x:v>조직 실행, 디지털 전환, 실무 도입, 프로세스 개선, 조달·승인</x:v>
      </x:c>
      <x:c r="E9" s="71" t="str">
        <x:v>대외 노출보다 실제 실행 라인 관점에서 접점 가능성이 큰 인물. 도입 범위·예산·현업 스폰서·내부 조달 구조를 풀 수 있는 축.</x:v>
      </x:c>
      <x:c r="F9" s="71" t="str">
        <x:v>한독의 슬립큐 NECA 등록, AI 응용제품 상용화 지원사업, 디지털헬스케어 실행 활동과 연결</x:v>
      </x:c>
      <x:c r="G9" s="71" t="str">
        <x:v>한독 공식 사이트 및 디지털 전환·실무 운영 조직을 통한 접촉 권장</x:v>
      </x:c>
      <x:c r="H9" s="71" t="str">
        <x:v>조직 운영, 실무 도입, 자동화 PoC, 조달·승인 프로세스 확인에 적합.</x:v>
      </x:c>
      <x:c r="I9" s="71" t="str">
        <x:v>실무 운영팀 소개, 내부 pain point 인터뷰, 소규모 자동화 PoC, 조달·승인 프로세스 확인</x:v>
      </x:c>
      <x:c r="J9" s="104" t="str">
        <x:v>중간</x:v>
      </x:c>
      <x:c r="K9" s="71" t="str">
        <x:v>한독 공식 사이트 / 한독 제품·미디어룸 (원문 citation: turn52view0, turn65view0, turn66view0)</x:v>
      </x:c>
      <x:c r="L9" s="72" t="str">
        <x:v>공개 신호가 강성지·김영진보다 약해 우선순위 한 단계 낮음</x:v>
      </x:c>
    </x:row>
    <x:row r="12" ht="30" customHeight="1">
      <x:c r="A12" s="117" t="str">
        <x:v>연자별 상세 프로필</x:v>
      </x:c>
      <x:c r="B12" s="117"/>
      <x:c r="C12" s="117"/>
      <x:c r="D12" s="117"/>
      <x:c r="E12" s="117"/>
      <x:c r="F12" s="117"/>
      <x:c r="G12" s="117"/>
      <x:c r="H12" s="117"/>
      <x:c r="I12" s="117"/>
      <x:c r="J12" s="117"/>
      <x:c r="K12" s="117"/>
      <x:c r="L12" s="117"/>
    </x:row>
    <x:row r="13" ht="24" customHeight="1">
      <x:c r="A13" s="120" t="str">
        <x:v>자료 기준일: 2026-07-16 · 공개 공식 페이지, 학술지 및 주요 언론을 기준으로 작성 · 확인되지 않은 학력·경력은 추정하지 않고 미확인으로 표시</x:v>
      </x:c>
      <x:c r="B13" s="120"/>
      <x:c r="C13" s="120"/>
      <x:c r="D13" s="120"/>
      <x:c r="E13" s="120"/>
      <x:c r="F13" s="120"/>
      <x:c r="G13" s="120"/>
      <x:c r="H13" s="120"/>
      <x:c r="I13" s="120"/>
      <x:c r="J13" s="120"/>
      <x:c r="K13" s="120"/>
      <x:c r="L13" s="120"/>
    </x:row>
    <x:row r="15" ht="26" customHeight="1">
      <x:c r="A15" s="126" t="str">
        <x:v>1. 강성지  |  웰트 대표 · 의사·보건학 기반 디지털치료기기 창업가</x:v>
      </x:c>
      <x:c r="B15" s="157"/>
      <x:c r="C15" s="157"/>
      <x:c r="D15" s="157"/>
      <x:c r="E15" s="157"/>
      <x:c r="F15" s="157"/>
      <x:c r="G15" s="157"/>
      <x:c r="H15" s="157"/>
      <x:c r="I15" s="157"/>
      <x:c r="J15" s="157"/>
      <x:c r="K15" s="157"/>
      <x:c r="L15" s="158"/>
    </x:row>
    <x:row r="16" ht="48" customHeight="1">
      <x:c r="A16" s="134" t="str">
        <x:v>학력 및 학위</x:v>
      </x:c>
      <x:c r="B16" s="143" t="str">
        <x:v>연세대학교 의학 학사 · 서울대학교 보건학 석사 · 연세대학교 보건학 박사</x:v>
      </x:c>
      <x:c r="C16" s="144"/>
      <x:c r="D16" s="144"/>
      <x:c r="E16" s="144"/>
      <x:c r="F16" s="144"/>
      <x:c r="G16" s="144"/>
      <x:c r="H16" s="144"/>
      <x:c r="I16" s="144"/>
      <x:c r="J16" s="144"/>
      <x:c r="K16" s="144"/>
      <x:c r="L16" s="145"/>
    </x:row>
    <x:row r="17" ht="62" customHeight="1">
      <x:c r="A17" s="134" t="str">
        <x:v>이전 경력·창업</x:v>
      </x:c>
      <x:c r="B17" s="143" t="str">
        <x:v>삼성전자 사내벤처 프로그램 C-Lab에서 출발한 웰트가 2016년 스핀오프했으며, 현재 대표로 디지털치료기기 사업을 운영하고 있음. 의학과 보건학을 기반으로 제품 개발·규제·임상·사업화를 함께 다루는 운영형 창업가.</x:v>
      </x:c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5"/>
    </x:row>
    <x:row r="18" ht="62" customHeight="1">
      <x:c r="A18" s="134" t="str">
        <x:v>기사·잡지·대외활동</x:v>
      </x:c>
      <x:c r="B18" s="143" t="str">
        <x:v>전자신문 「디지털 치료제, 의지 강한 환자에게 효과」 인터뷰(2024.09), 포춘코리아 「우리는 디지털 제약사입니다」 인터뷰(2024.09), 한국경제 비대면 불면증 치료 인터뷰(2025.06) 등 다수 매체에서 디지털치료제 상용화와 해외 진출 전략을 설명.</x:v>
      </x:c>
      <x:c r="C18" s="144"/>
      <x:c r="D18" s="144"/>
      <x:c r="E18" s="144"/>
      <x:c r="F18" s="144"/>
      <x:c r="G18" s="144"/>
      <x:c r="H18" s="144"/>
      <x:c r="I18" s="144"/>
      <x:c r="J18" s="144"/>
      <x:c r="K18" s="144"/>
      <x:c r="L18" s="145"/>
    </x:row>
    <x:row r="19" ht="48" customHeight="1">
      <x:c r="A19" s="134" t="str">
        <x:v>주된 분야</x:v>
      </x:c>
      <x:c r="B19" s="143" t="str">
        <x:v>디지털치료기기(DTx) · 불면증 인지행동치료(dCBT-I) · 수면 데이터 분석 · 개인 맞춤형 치료 · 비대면 처방 · 의료기기 규제 및 글로벌 사업화</x:v>
      </x:c>
      <x:c r="C19" s="144"/>
      <x:c r="D19" s="144"/>
      <x:c r="E19" s="144"/>
      <x:c r="F19" s="144"/>
      <x:c r="G19" s="144"/>
      <x:c r="H19" s="144"/>
      <x:c r="I19" s="144"/>
      <x:c r="J19" s="144"/>
      <x:c r="K19" s="144"/>
      <x:c r="L19" s="145"/>
    </x:row>
    <x:row r="20" ht="62" customHeight="1">
      <x:c r="A20" s="134" t="str">
        <x:v>대표 성과</x:v>
      </x:c>
      <x:c r="B20" s="143" t="str">
        <x:v>불면증 디지털치료기기 ‘슬립큐’의 식약처 허가와 2024년 실제 환자 처방을 추진. 슬립큐는 CE 인증을 획득했고 독일 글로벌 임상을 진행 중이며, 독일 지사 설립과 현지 파트너십 구축도 추진.</x:v>
      </x:c>
      <x:c r="C20" s="144"/>
      <x:c r="D20" s="144"/>
      <x:c r="E20" s="144"/>
      <x:c r="F20" s="144"/>
      <x:c r="G20" s="144"/>
      <x:c r="H20" s="144"/>
      <x:c r="I20" s="144"/>
      <x:c r="J20" s="144"/>
      <x:c r="K20" s="144"/>
      <x:c r="L20" s="145"/>
    </x:row>
    <x:row r="21" ht="62" customHeight="1">
      <x:c r="A21" s="134" t="str">
        <x:v>최근 성과</x:v>
      </x:c>
      <x:c r="B21" s="143" t="str">
        <x:v>2025년 비대면 진료 플랫폼을 통한 슬립큐 원격 처방·판매를 시작하고, 확증 임상에서 수면 효율 12% 상승 결과를 제시. 2025년 5월 폭식증 디지털치료기기 식약처 허가를 확보했으며 우울증 제품 확장 계획도 공개. 2026년 회사 공지 기준 슬립큐 NECA 등록 1,000건 돌파.</x:v>
      </x:c>
      <x:c r="C21" s="144"/>
      <x:c r="D21" s="144"/>
      <x:c r="E21" s="144"/>
      <x:c r="F21" s="144"/>
      <x:c r="G21" s="144"/>
      <x:c r="H21" s="144"/>
      <x:c r="I21" s="144"/>
      <x:c r="J21" s="144"/>
      <x:c r="K21" s="144"/>
      <x:c r="L21" s="145"/>
    </x:row>
    <x:row r="22" ht="48" customHeight="1">
      <x:c r="A22" s="134" t="str">
        <x:v>확인 상태</x:v>
      </x:c>
      <x:c r="B22" s="143" t="str">
        <x:v>학력·현재 직책·제품 성과는 공식 페이지 및 주요 언론에서 확인. 개인의 삼성전자 입사 시점·C-Lab 내 세부 직무는 공개 근거가 부족해 기재하지 않음.</x:v>
      </x:c>
      <x:c r="C22" s="144"/>
      <x:c r="D22" s="144"/>
      <x:c r="E22" s="144"/>
      <x:c r="F22" s="144"/>
      <x:c r="G22" s="144"/>
      <x:c r="H22" s="144"/>
      <x:c r="I22" s="144"/>
      <x:c r="J22" s="144"/>
      <x:c r="K22" s="144"/>
      <x:c r="L22" s="145"/>
    </x:row>
    <x:row r="23" ht="72" customHeight="1">
      <x:c r="A23" s="134" t="str">
        <x:v>주요 출처</x:v>
      </x:c>
      <x:c r="B23" s="143" t="str">
        <x:v>https://sleepq.ai/
https://www.etnews.com/20240912000301
https://www.hankyung.com/article/2025061685821
https://www.handok.co.kr/</x:v>
      </x:c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</x:row>
    <x:row r="25" ht="26" customHeight="1">
      <x:c r="A25" s="126" t="str">
        <x:v>2. 이은  |  세브란스병원 정신건강의학과 교수 · 슬립큐 개발 참여 임상 KOL</x:v>
      </x:c>
      <x:c r="B25" s="157"/>
      <x:c r="C25" s="157"/>
      <x:c r="D25" s="157"/>
      <x:c r="E25" s="157"/>
      <x:c r="F25" s="157"/>
      <x:c r="G25" s="157"/>
      <x:c r="H25" s="157"/>
      <x:c r="I25" s="157"/>
      <x:c r="J25" s="157"/>
      <x:c r="K25" s="157"/>
      <x:c r="L25" s="158"/>
    </x:row>
    <x:row r="26" ht="48" customHeight="1">
      <x:c r="A26" s="134" t="str">
        <x:v>학력 및 학위</x:v>
      </x:c>
      <x:c r="B26" s="154" t="str">
        <x:v>정확한 학위 수여 대학과 세부 학위 이력은 공개 공식 자료에서 확인되지 않음. 현재 연구 소속은 연세대학교 의과대학 정신과학교실·행동과학연구소 및 연세대학교 디지털헬스케어혁신연구소로 확인됨.</x:v>
      </x:c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6"/>
    </x:row>
    <x:row r="27" ht="62" customHeight="1">
      <x:c r="A27" s="134" t="str">
        <x:v>이전 경력·창업</x:v>
      </x:c>
      <x:c r="B27" s="154" t="str">
        <x:v>세브란스병원 정신건강의학과 전문의·교수로 임상과 연구를 수행. 개인 창업 이력은 확인되지 않았으며, 웰트 슬립큐 개발 참여 교수로서 임상 설계와 현장 도입의 전문성을 제공.</x:v>
      </x:c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6"/>
    </x:row>
    <x:row r="28" ht="62" customHeight="1">
      <x:c r="A28" s="134" t="str">
        <x:v>기사·잡지·대외활동</x:v>
      </x:c>
      <x:c r="B28" s="154" t="str">
        <x:v>2024년 세브란스병원에서 슬립큐 첫 환자 처방을 진행한 교수팀으로 보도됨. 2023년 npj Digital Medicine에 디지털 불면증 인지행동치료의 우울·불안 개선 효과를 다룬 체계적 문헌고찰·메타분석을 공동 교신저자로 발표.</x:v>
      </x:c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6"/>
    </x:row>
    <x:row r="29" ht="48" customHeight="1">
      <x:c r="A29" s="134" t="str">
        <x:v>주된 분야</x:v>
      </x:c>
      <x:c r="B29" s="154" t="str">
        <x:v>정신건강의학 · 불면증과 수면장애 · 디지털 CBT-I · 우울·불안 동반 증상 · 디지털 헬스 임상 검증 · 병원 진료 워크플로우</x:v>
      </x:c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  <x:row r="30" ht="62" customHeight="1">
      <x:c r="A30" s="134" t="str">
        <x:v>대표 성과</x:v>
      </x:c>
      <x:c r="B30" s="154" t="str">
        <x:v>22개 무작위대조시험과 10,486명을 분석한 dCBT-I 메타분석을 공동 총괄해 수면 결과뿐 아니라 우울·불안 증상에도 유의한 효과가 있음을 제시. 슬립큐 개발과 임상 도입에 참여.</x:v>
      </x:c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6"/>
    </x:row>
    <x:row r="31" ht="62" customHeight="1">
      <x:c r="A31" s="134" t="str">
        <x:v>최근 성과</x:v>
      </x:c>
      <x:c r="B31" s="154" t="str">
        <x:v>2024년 6월 세브란스병원에서 불면증 환자 대상 슬립큐 처방을 시작해 국내 디지털치료기기의 실제 진료 도입 사례를 만듦.</x:v>
      </x:c>
      <x:c r="C31" s="155"/>
      <x:c r="D31" s="155"/>
      <x:c r="E31" s="155"/>
      <x:c r="F31" s="155"/>
      <x:c r="G31" s="155"/>
      <x:c r="H31" s="155"/>
      <x:c r="I31" s="155"/>
      <x:c r="J31" s="155"/>
      <x:c r="K31" s="155"/>
      <x:c r="L31" s="156"/>
    </x:row>
    <x:row r="32" ht="48" customHeight="1">
      <x:c r="A32" s="134" t="str">
        <x:v>확인 상태</x:v>
      </x:c>
      <x:c r="B32" s="154" t="str">
        <x:v>현재 소속·연구 성과·슬립큐 개발 참여는 공식 제품 페이지와 학술지에서 확인. 학부·대학원 학위 이력은 신뢰할 수 있는 공개 공식 자료를 찾지 못해 ‘미확인’으로 처리.</x:v>
      </x:c>
      <x:c r="C32" s="155"/>
      <x:c r="D32" s="155"/>
      <x:c r="E32" s="155"/>
      <x:c r="F32" s="155"/>
      <x:c r="G32" s="155"/>
      <x:c r="H32" s="155"/>
      <x:c r="I32" s="155"/>
      <x:c r="J32" s="155"/>
      <x:c r="K32" s="155"/>
      <x:c r="L32" s="156"/>
    </x:row>
    <x:row r="33" ht="72" customHeight="1">
      <x:c r="A33" s="134" t="str">
        <x:v>주요 출처</x:v>
      </x:c>
      <x:c r="B33" s="154" t="str">
        <x:v>https://sleepq.ai/
https://www.nature.com/articles/s41746-023-00800-3
https://kormedi.com/1688188/</x:v>
      </x:c>
      <x:c r="C33" s="155"/>
      <x:c r="D33" s="155"/>
      <x:c r="E33" s="155"/>
      <x:c r="F33" s="155"/>
      <x:c r="G33" s="155"/>
      <x:c r="H33" s="155"/>
      <x:c r="I33" s="155"/>
      <x:c r="J33" s="155"/>
      <x:c r="K33" s="155"/>
      <x:c r="L33" s="156"/>
    </x:row>
    <x:row r="34"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</x:row>
    <x:row r="35" ht="26" customHeight="1">
      <x:c r="A35" s="126" t="str">
        <x:v>3. 이유진  |  정신건강의학과 전문의 · MD·MPH · 전 세브란스병원</x:v>
      </x:c>
      <x:c r="B35" s="157"/>
      <x:c r="C35" s="157"/>
      <x:c r="D35" s="157"/>
      <x:c r="E35" s="157"/>
      <x:c r="F35" s="157"/>
      <x:c r="G35" s="157"/>
      <x:c r="H35" s="157"/>
      <x:c r="I35" s="157"/>
      <x:c r="J35" s="157"/>
      <x:c r="K35" s="157"/>
      <x:c r="L35" s="158"/>
    </x:row>
    <x:row r="36" ht="48" customHeight="1">
      <x:c r="A36" s="134" t="str">
        <x:v>학력 및 학위</x:v>
      </x:c>
      <x:c r="B36" s="143" t="str">
        <x:v>연세대학교 의학 학사. 공식 슬립큐 페이지에 MD·MPH로 표기되어 있으나 MPH 수여기관은 공개되지 않음.</x:v>
      </x:c>
      <x:c r="C36" s="144"/>
      <x:c r="D36" s="144"/>
      <x:c r="E36" s="144"/>
      <x:c r="F36" s="144"/>
      <x:c r="G36" s="144"/>
      <x:c r="H36" s="144"/>
      <x:c r="I36" s="144"/>
      <x:c r="J36" s="144"/>
      <x:c r="K36" s="144"/>
      <x:c r="L36" s="145"/>
    </x:row>
    <x:row r="37" ht="62" customHeight="1">
      <x:c r="A37" s="134" t="str">
        <x:v>이전 경력·창업</x:v>
      </x:c>
      <x:c r="B37" s="143" t="str">
        <x:v>정신건강의학과 전문의이며 전 세브란스병원 경력이 공식 페이지에 기재됨. 개인 창업 이력은 확인되지 않았고, 슬립큐의 전문 의료진으로 임상 경험과 데이터에 기반한 제품 설명을 담당.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5"/>
    </x:row>
    <x:row r="38" ht="62" customHeight="1">
      <x:c r="A38" s="134" t="str">
        <x:v>기사·잡지·대외활동</x:v>
      </x:c>
      <x:c r="B38" s="143" t="str">
        <x:v>슬립큐 공식 페이지에서 수면 치료의 임상적 효과를 설명하는 의료 전문가로 소개됨. 개인 명의의 창업 기사·정기 기고·잡지 활동은 현재 확인 가능한 공식 자료에서 찾지 못함.</x:v>
      </x:c>
      <x:c r="C38" s="144"/>
      <x:c r="D38" s="144"/>
      <x:c r="E38" s="144"/>
      <x:c r="F38" s="144"/>
      <x:c r="G38" s="144"/>
      <x:c r="H38" s="144"/>
      <x:c r="I38" s="144"/>
      <x:c r="J38" s="144"/>
      <x:c r="K38" s="144"/>
      <x:c r="L38" s="145"/>
    </x:row>
    <x:row r="39" ht="48" customHeight="1">
      <x:c r="A39" s="134" t="str">
        <x:v>주된 분야</x:v>
      </x:c>
      <x:c r="B39" s="143" t="str">
        <x:v>정신건강의학 · 수면장애와 불면증 · 임상 데이터 해석 · 환자 교육 및 순응도 · 디지털 치료 콘텐츠와 사용자 커뮤니케이션</x:v>
      </x:c>
      <x:c r="C39" s="144"/>
      <x:c r="D39" s="144"/>
      <x:c r="E39" s="144"/>
      <x:c r="F39" s="144"/>
      <x:c r="G39" s="144"/>
      <x:c r="H39" s="144"/>
      <x:c r="I39" s="144"/>
      <x:c r="J39" s="144"/>
      <x:c r="K39" s="144"/>
      <x:c r="L39" s="145"/>
    </x:row>
    <x:row r="40" ht="62" customHeight="1">
      <x:c r="A40" s="134" t="str">
        <x:v>대표 성과</x:v>
      </x:c>
      <x:c r="B40" s="143" t="str">
        <x:v>세브란스병원 임상 경력을 바탕으로 슬립큐 전문 의료진에 참여하여 디지털 수면치료의 임상 신뢰도와 환자 대상 설명 체계를 보강.</x:v>
      </x:c>
      <x:c r="C40" s="144"/>
      <x:c r="D40" s="144"/>
      <x:c r="E40" s="144"/>
      <x:c r="F40" s="144"/>
      <x:c r="G40" s="144"/>
      <x:c r="H40" s="144"/>
      <x:c r="I40" s="144"/>
      <x:c r="J40" s="144"/>
      <x:c r="K40" s="144"/>
      <x:c r="L40" s="145"/>
    </x:row>
    <x:row r="41" ht="62" customHeight="1">
      <x:c r="A41" s="134" t="str">
        <x:v>최근 성과</x:v>
      </x:c>
      <x:c r="B41" s="143" t="str">
        <x:v>슬립큐 상용화 과정에서 공식 의료진으로 소개되며 임상 경험과 데이터를 기반으로 제품 효과를 전달. 별도의 최근 개인 연구·수상·창업 성과는 공개 자료에서 확인되지 않음.</x:v>
      </x:c>
      <x:c r="C41" s="144"/>
      <x:c r="D41" s="144"/>
      <x:c r="E41" s="144"/>
      <x:c r="F41" s="144"/>
      <x:c r="G41" s="144"/>
      <x:c r="H41" s="144"/>
      <x:c r="I41" s="144"/>
      <x:c r="J41" s="144"/>
      <x:c r="K41" s="144"/>
      <x:c r="L41" s="145"/>
    </x:row>
    <x:row r="42" ht="48" customHeight="1">
      <x:c r="A42" s="134" t="str">
        <x:v>확인 상태</x:v>
      </x:c>
      <x:c r="B42" s="143" t="str">
        <x:v>연세대 의학 학사·전문의·전 세브란스 경력은 공식 페이지에서 확인. MPH 수여기관, 현재 주 소속기관과 개인별 최근 연구 실적은 미확인.</x:v>
      </x:c>
      <x:c r="C42" s="144"/>
      <x:c r="D42" s="144"/>
      <x:c r="E42" s="144"/>
      <x:c r="F42" s="144"/>
      <x:c r="G42" s="144"/>
      <x:c r="H42" s="144"/>
      <x:c r="I42" s="144"/>
      <x:c r="J42" s="144"/>
      <x:c r="K42" s="144"/>
      <x:c r="L42" s="145"/>
    </x:row>
    <x:row r="43" ht="72" customHeight="1">
      <x:c r="A43" s="134" t="str">
        <x:v>주요 출처</x:v>
      </x:c>
      <x:c r="B43" s="143" t="str">
        <x:v>https://sleepq.ai/</x:v>
      </x:c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</x:row>
    <x:row r="45" ht="26" customHeight="1">
      <x:c r="A45" s="126" t="str">
        <x:v>4. 김영진  |  한독 대표이사 회장 · 이사회 의장</x:v>
      </x:c>
      <x:c r="B45" s="157"/>
      <x:c r="C45" s="157"/>
      <x:c r="D45" s="157"/>
      <x:c r="E45" s="157"/>
      <x:c r="F45" s="157"/>
      <x:c r="G45" s="157"/>
      <x:c r="H45" s="157"/>
      <x:c r="I45" s="157"/>
      <x:c r="J45" s="157"/>
      <x:c r="K45" s="157"/>
      <x:c r="L45" s="158"/>
    </x:row>
    <x:row r="46" ht="48" customHeight="1">
      <x:c r="A46" s="134" t="str">
        <x:v>학력 및 학위</x:v>
      </x:c>
      <x:c r="B46" s="154" t="str">
        <x:v>학위 수여 대학과 전공은 현재 확인 가능한 한독 공식 페이지·공시 화면에서 확인되지 않음. 출처가 불분명한 인물정보 사이트의 학력은 사용하지 않음.</x:v>
      </x:c>
      <x:c r="C46" s="155"/>
      <x:c r="D46" s="155"/>
      <x:c r="E46" s="155"/>
      <x:c r="F46" s="155"/>
      <x:c r="G46" s="155"/>
      <x:c r="H46" s="155"/>
      <x:c r="I46" s="155"/>
      <x:c r="J46" s="155"/>
      <x:c r="K46" s="155"/>
      <x:c r="L46" s="156"/>
    </x:row>
    <x:row r="47" ht="62" customHeight="1">
      <x:c r="A47" s="134" t="str">
        <x:v>이전 경력·창업</x:v>
      </x:c>
      <x:c r="B47" s="154" t="str">
        <x:v>한독의 대표이사 회장과 이사회 의장으로 제약 중심 사업을 진단·관리·디지털헬스까지 확장하는 경영을 총괄. 신규 창업가라기보다 기존 제약기업의 사업 전환과 오픈이노베이션을 이끄는 경영자.</x:v>
      </x:c>
      <x:c r="C47" s="155"/>
      <x:c r="D47" s="155"/>
      <x:c r="E47" s="155"/>
      <x:c r="F47" s="155"/>
      <x:c r="G47" s="155"/>
      <x:c r="H47" s="155"/>
      <x:c r="I47" s="155"/>
      <x:c r="J47" s="155"/>
      <x:c r="K47" s="155"/>
      <x:c r="L47" s="156"/>
    </x:row>
    <x:row r="48" ht="62" customHeight="1">
      <x:c r="A48" s="134" t="str">
        <x:v>기사·잡지·대외활동</x:v>
      </x:c>
      <x:c r="B48" s="154" t="str">
        <x:v>한독 공식 CEO 메시지와 디지털헬스·슬립큐 관련 보도에서 토탈헬스케어 전환, 디지털치료기기의 환자 접근성 및 치료 참여 향상에 대한 경영 방향을 제시.</x:v>
      </x:c>
      <x:c r="C48" s="155"/>
      <x:c r="D48" s="155"/>
      <x:c r="E48" s="155"/>
      <x:c r="F48" s="155"/>
      <x:c r="G48" s="155"/>
      <x:c r="H48" s="155"/>
      <x:c r="I48" s="155"/>
      <x:c r="J48" s="155"/>
      <x:c r="K48" s="155"/>
      <x:c r="L48" s="156"/>
    </x:row>
    <x:row r="49" ht="48" customHeight="1">
      <x:c r="A49" s="134" t="str">
        <x:v>주된 분야</x:v>
      </x:c>
      <x:c r="B49" s="154" t="str">
        <x:v>제약·헬스케어 경영 · 디지털헬스 상용화 · 유통 및 시장접근 · 오픈이노베이션 · 암·당뇨·희귀질환 신약개발 포트폴리오 · 대기업 파트너십</x:v>
      </x:c>
      <x:c r="C49" s="155"/>
      <x:c r="D49" s="155"/>
      <x:c r="E49" s="155"/>
      <x:c r="F49" s="155"/>
      <x:c r="G49" s="155"/>
      <x:c r="H49" s="155"/>
      <x:c r="I49" s="155"/>
      <x:c r="J49" s="155"/>
      <x:c r="K49" s="155"/>
      <x:c r="L49" s="156"/>
    </x:row>
    <x:row r="50" ht="62" customHeight="1">
      <x:c r="A50" s="134" t="str">
        <x:v>대표 성과</x:v>
      </x:c>
      <x:c r="B50" s="154" t="str">
        <x:v>한독의 사업 범위를 의약품 치료에서 예방·진단·관리까지 확장하고, 웰트와의 협력을 통해 슬립큐를 한독의 디지털헬스케어 포트폴리오에 편입. 암·당뇨·희귀질환 분야 오픈이노베이션과 신약개발을 경영 차원에서 추진.</x:v>
      </x:c>
      <x:c r="C50" s="155"/>
      <x:c r="D50" s="155"/>
      <x:c r="E50" s="155"/>
      <x:c r="F50" s="155"/>
      <x:c r="G50" s="155"/>
      <x:c r="H50" s="155"/>
      <x:c r="I50" s="155"/>
      <x:c r="J50" s="155"/>
      <x:c r="K50" s="155"/>
      <x:c r="L50" s="156"/>
    </x:row>
    <x:row r="51" ht="62" customHeight="1">
      <x:c r="A51" s="134" t="str">
        <x:v>최근 성과</x:v>
      </x:c>
      <x:c r="B51" s="154" t="str">
        <x:v>2026년 한독 공식 공지 기준 슬립큐 NECA 등록 1,000건 돌파, 대한수면연구학회 슬립큐 심포지엄, AI 기반 지능형 공장 구축 사업, 2026 지속가능경영보고서 발간 등 회사 차원의 디지털 전환 성과가 진행됨.</x:v>
      </x:c>
      <x:c r="C51" s="155"/>
      <x:c r="D51" s="155"/>
      <x:c r="E51" s="155"/>
      <x:c r="F51" s="155"/>
      <x:c r="G51" s="155"/>
      <x:c r="H51" s="155"/>
      <x:c r="I51" s="155"/>
      <x:c r="J51" s="155"/>
      <x:c r="K51" s="155"/>
      <x:c r="L51" s="156"/>
    </x:row>
    <x:row r="52" ht="48" customHeight="1">
      <x:c r="A52" s="134" t="str">
        <x:v>확인 상태</x:v>
      </x:c>
      <x:c r="B52" s="154" t="str">
        <x:v>대표이사 회장·이사회 의장 직책과 회사 성과는 공식 자료에서 확인. 다만 회사 성과 전체를 개인 단독 성과로 귀속할 수는 없으며, 학력과 초기 경력은 공식 근거 미확인.</x:v>
      </x:c>
      <x:c r="C52" s="155"/>
      <x:c r="D52" s="155"/>
      <x:c r="E52" s="155"/>
      <x:c r="F52" s="155"/>
      <x:c r="G52" s="155"/>
      <x:c r="H52" s="155"/>
      <x:c r="I52" s="155"/>
      <x:c r="J52" s="155"/>
      <x:c r="K52" s="155"/>
      <x:c r="L52" s="156"/>
    </x:row>
    <x:row r="53" ht="72" customHeight="1">
      <x:c r="A53" s="134" t="str">
        <x:v>주요 출처</x:v>
      </x:c>
      <x:c r="B53" s="154" t="str">
        <x:v>https://www.handok.co.kr/page/greeting
https://www.handok.co.kr/page/governance
https://www.handok.co.kr/</x:v>
      </x:c>
      <x:c r="C53" s="155"/>
      <x:c r="D53" s="155"/>
      <x:c r="E53" s="155"/>
      <x:c r="F53" s="155"/>
      <x:c r="G53" s="155"/>
      <x:c r="H53" s="155"/>
      <x:c r="I53" s="155"/>
      <x:c r="J53" s="155"/>
      <x:c r="K53" s="155"/>
      <x:c r="L53" s="156"/>
    </x:row>
    <x:row r="54"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</x:row>
    <x:row r="55" ht="26" customHeight="1">
      <x:c r="A55" s="126" t="str">
        <x:v>5. 백진기  |  한독 대표이사 · 실행·운영 중심 경영 접점</x:v>
      </x:c>
      <x:c r="B55" s="157"/>
      <x:c r="C55" s="157"/>
      <x:c r="D55" s="157"/>
      <x:c r="E55" s="157"/>
      <x:c r="F55" s="157"/>
      <x:c r="G55" s="157"/>
      <x:c r="H55" s="157"/>
      <x:c r="I55" s="157"/>
      <x:c r="J55" s="157"/>
      <x:c r="K55" s="157"/>
      <x:c r="L55" s="158"/>
    </x:row>
    <x:row r="56" ht="48" customHeight="1">
      <x:c r="A56" s="134" t="str">
        <x:v>학력 및 학위</x:v>
      </x:c>
      <x:c r="B56" s="143" t="str">
        <x:v>학위 수여 대학과 전공은 현재 확인 가능한 한독 공식 페이지·공시 화면에서 확인되지 않음.</x:v>
      </x:c>
      <x:c r="C56" s="144"/>
      <x:c r="D56" s="144"/>
      <x:c r="E56" s="144"/>
      <x:c r="F56" s="144"/>
      <x:c r="G56" s="144"/>
      <x:c r="H56" s="144"/>
      <x:c r="I56" s="144"/>
      <x:c r="J56" s="144"/>
      <x:c r="K56" s="144"/>
      <x:c r="L56" s="145"/>
    </x:row>
    <x:row r="57" ht="62" customHeight="1">
      <x:c r="A57" s="134" t="str">
        <x:v>이전 경력·창업</x:v>
      </x:c>
      <x:c r="B57" s="143" t="str">
        <x:v>한독의 현 대표이사이자 상근 사내이사. 공식 지배구조 페이지에는 2026년 3월 26일 선임, 임기 3년으로 기재됨. 개인 창업 이력과 대표 취임 전 세부 직무 경로는 공개 공식 자료에서 확인되지 않음.</x:v>
      </x:c>
      <x:c r="C57" s="144"/>
      <x:c r="D57" s="144"/>
      <x:c r="E57" s="144"/>
      <x:c r="F57" s="144"/>
      <x:c r="G57" s="144"/>
      <x:c r="H57" s="144"/>
      <x:c r="I57" s="144"/>
      <x:c r="J57" s="144"/>
      <x:c r="K57" s="144"/>
      <x:c r="L57" s="145"/>
    </x:row>
    <x:row r="58" ht="62" customHeight="1">
      <x:c r="A58" s="134" t="str">
        <x:v>기사·잡지·대외활동</x:v>
      </x:c>
      <x:c r="B58" s="143" t="str">
        <x:v>개인 명의의 인터뷰·잡지 기고는 상대적으로 공개 신호가 적음. 한독 공식 미디어룸과 공시를 통해 디지털헬스, 생산 혁신, AI 공장, 지속가능경영 관련 회사 실행 활동이 확인됨.</x:v>
      </x:c>
      <x:c r="C58" s="144"/>
      <x:c r="D58" s="144"/>
      <x:c r="E58" s="144"/>
      <x:c r="F58" s="144"/>
      <x:c r="G58" s="144"/>
      <x:c r="H58" s="144"/>
      <x:c r="I58" s="144"/>
      <x:c r="J58" s="144"/>
      <x:c r="K58" s="144"/>
      <x:c r="L58" s="145"/>
    </x:row>
    <x:row r="59" ht="48" customHeight="1">
      <x:c r="A59" s="134" t="str">
        <x:v>주된 분야</x:v>
      </x:c>
      <x:c r="B59" s="143" t="str">
        <x:v>기업 운영과 실행 · 디지털 전환 · 생산·공급 및 프로세스 개선 · 조달·승인 체계 · 디지털헬스 상용화 지원</x:v>
      </x:c>
      <x:c r="C59" s="144"/>
      <x:c r="D59" s="144"/>
      <x:c r="E59" s="144"/>
      <x:c r="F59" s="144"/>
      <x:c r="G59" s="144"/>
      <x:c r="H59" s="144"/>
      <x:c r="I59" s="144"/>
      <x:c r="J59" s="144"/>
      <x:c r="K59" s="144"/>
      <x:c r="L59" s="145"/>
    </x:row>
    <x:row r="60" ht="62" customHeight="1">
      <x:c r="A60" s="134" t="str">
        <x:v>대표 성과</x:v>
      </x:c>
      <x:c r="B60" s="143" t="str">
        <x:v>공개 자료상 개인 단독 성과보다는 한독 공동대표 체제에서 디지털헬스 포트폴리오와 운영 혁신을 실행하는 경영 접점으로 평가하는 것이 적절함.</x:v>
      </x:c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ht="62" customHeight="1">
      <x:c r="A61" s="134" t="str">
        <x:v>최근 성과</x:v>
      </x:c>
      <x:c r="B61" s="143" t="str">
        <x:v>2026년 회사 차원에서 슬립큐 NECA 등록 1,000건, AI 기반 지능형 공장 구축, 슬립큐 학회 심포지엄, 지속가능경영보고서 발간이 진행됨. 개인 기여 범위는 공개 자료만으로 분리 확인하기 어려움.</x:v>
      </x:c>
      <x:c r="C61" s="144"/>
      <x:c r="D61" s="144"/>
      <x:c r="E61" s="144"/>
      <x:c r="F61" s="144"/>
      <x:c r="G61" s="144"/>
      <x:c r="H61" s="144"/>
      <x:c r="I61" s="144"/>
      <x:c r="J61" s="144"/>
      <x:c r="K61" s="144"/>
      <x:c r="L61" s="145"/>
    </x:row>
    <x:row r="62" ht="48" customHeight="1">
      <x:c r="A62" s="134" t="str">
        <x:v>확인 상태</x:v>
      </x:c>
      <x:c r="B62" s="143" t="str">
        <x:v>현 대표이사·사내이사 선임 정보는 한독 공식 지배구조 페이지에서 확인. 학력·이전 세부 경력·개인 성과는 미확인이고, 최근 성과는 회사 단위 성과로 구분해 기재.</x:v>
      </x:c>
      <x:c r="C62" s="144"/>
      <x:c r="D62" s="144"/>
      <x:c r="E62" s="144"/>
      <x:c r="F62" s="144"/>
      <x:c r="G62" s="144"/>
      <x:c r="H62" s="144"/>
      <x:c r="I62" s="144"/>
      <x:c r="J62" s="144"/>
      <x:c r="K62" s="144"/>
      <x:c r="L62" s="145"/>
    </x:row>
    <x:row r="63" ht="72" customHeight="1">
      <x:c r="A63" s="134" t="str">
        <x:v>주요 출처</x:v>
      </x:c>
      <x:c r="B63" s="143" t="str">
        <x:v>https://www.handok.co.kr/page/governance
https://www.handok.co.kr/</x:v>
      </x:c>
      <x:c r="C63" s="144"/>
      <x:c r="D63" s="144"/>
      <x:c r="E63" s="144"/>
      <x:c r="F63" s="144"/>
      <x:c r="G63" s="144"/>
      <x:c r="H63" s="144"/>
      <x:c r="I63" s="144"/>
      <x:c r="J63" s="144"/>
      <x:c r="K63" s="144"/>
      <x:c r="L63" s="145"/>
    </x:row>
  </x:sheetData>
  <x:mergeCells>
    <x:mergeCell ref="A1:L1"/>
    <x:mergeCell ref="A2:L2"/>
    <x:mergeCell ref="A12:L12"/>
    <x:mergeCell ref="A13:L13"/>
    <x:mergeCell ref="A15:L15"/>
    <x:mergeCell ref="B16:L16"/>
    <x:mergeCell ref="B17:L17"/>
    <x:mergeCell ref="B18:L18"/>
    <x:mergeCell ref="B19:L19"/>
    <x:mergeCell ref="B20:L20"/>
    <x:mergeCell ref="B21:L21"/>
    <x:mergeCell ref="B22:L22"/>
    <x:mergeCell ref="B23:L23"/>
    <x:mergeCell ref="A25:L25"/>
    <x:mergeCell ref="B26:L26"/>
    <x:mergeCell ref="B27:L27"/>
    <x:mergeCell ref="B28:L28"/>
    <x:mergeCell ref="B29:L29"/>
    <x:mergeCell ref="B30:L30"/>
    <x:mergeCell ref="B31:L31"/>
    <x:mergeCell ref="B32:L32"/>
    <x:mergeCell ref="B33:L33"/>
    <x:mergeCell ref="A35:L35"/>
    <x:mergeCell ref="B36:L36"/>
    <x:mergeCell ref="B37:L37"/>
    <x:mergeCell ref="B38:L38"/>
    <x:mergeCell ref="B39:L39"/>
    <x:mergeCell ref="B40:L40"/>
    <x:mergeCell ref="B41:L41"/>
    <x:mergeCell ref="B42:L42"/>
    <x:mergeCell ref="B43:L43"/>
    <x:mergeCell ref="A45:L45"/>
    <x:mergeCell ref="B46:L46"/>
    <x:mergeCell ref="B47:L47"/>
    <x:mergeCell ref="B48:L48"/>
    <x:mergeCell ref="B49:L49"/>
    <x:mergeCell ref="B50:L50"/>
    <x:mergeCell ref="B51:L51"/>
    <x:mergeCell ref="B52:L52"/>
    <x:mergeCell ref="B53:L53"/>
    <x:mergeCell ref="A55:L55"/>
    <x:mergeCell ref="B56:L56"/>
    <x:mergeCell ref="B57:L57"/>
    <x:mergeCell ref="B58:L58"/>
    <x:mergeCell ref="B59:L59"/>
    <x:mergeCell ref="B60:L60"/>
    <x:mergeCell ref="B61:L61"/>
    <x:mergeCell ref="B62:L62"/>
    <x:mergeCell ref="B63:L63"/>
  </x:mergeCells>
  <x:conditionalFormatting sqref="J5:J9">
    <x:cfRule type="expression" dxfId="0" priority="1">
      <x:formula>J5="높음"</x:formula>
    </x:cfRule>
    <x:cfRule type="expression" dxfId="1" priority="2">
      <x:formula>J5="중간"</x:formula>
    </x:cfRule>
  </x:conditionalFormatting>
  <x:dataValidations count="1">
    <x:dataValidation type="list" sqref="J5:J9">
      <x:formula1>"높음,중간,낮음"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292ddde70a45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32" hidden="0" customWidth="1"/>
    <x:col min="5" max="5" width="56" hidden="0" customWidth="1"/>
    <x:col min="6" max="6" width="42" hidden="0" customWidth="1"/>
  </x:cols>
  <x:sheetData>
    <x:row r="1" ht="30" customHeight="1">
      <x:c r="A1" s="5" t="str">
        <x:v>인물별 권장 접촉 액션</x:v>
      </x:c>
      <x:c r="B1" s="5"/>
      <x:c r="C1" s="5"/>
      <x:c r="D1" s="5"/>
      <x:c r="E1" s="5"/>
      <x:c r="F1" s="5"/>
    </x:row>
    <x:row r="2" ht="24" customHeight="1">
      <x:c r="A2" s="13" t="str">
        <x:v>처음부터 대규모 제휴를 제안하기보다 소개·인터뷰·자문·소규모 PoC 중심으로 접근</x:v>
      </x:c>
      <x:c r="B2" s="13"/>
      <x:c r="C2" s="13"/>
      <x:c r="D2" s="13"/>
      <x:c r="E2" s="13"/>
      <x:c r="F2" s="13"/>
    </x:row>
    <x:row r="4" ht="32" customHeight="1">
      <x:c r="A4" s="29" t="str">
        <x:v>접촉 순서</x:v>
      </x:c>
      <x:c r="B4" s="30" t="str">
        <x:v>이름</x:v>
      </x:c>
      <x:c r="C4" s="30" t="str">
        <x:v>우선순위</x:v>
      </x:c>
      <x:c r="D4" s="30" t="str">
        <x:v>접근 목적</x:v>
      </x:c>
      <x:c r="E4" s="30" t="str">
        <x:v>실질적 액션 제안</x:v>
      </x:c>
      <x:c r="F4" s="31" t="str">
        <x:v>접근 시 유의점</x:v>
      </x:c>
    </x:row>
    <x:row r="5" ht="54" customHeight="1">
      <x:c r="A5" s="99" t="n">
        <x:v>1</x:v>
      </x:c>
      <x:c r="B5" s="100" t="str">
        <x:v>강성지</x:v>
      </x:c>
      <x:c r="C5" s="100" t="str">
        <x:v>높음</x:v>
      </x:c>
      <x:c r="D5" s="65" t="str">
        <x:v>운영 문제정의 및 사업 확장 구조 파악</x:v>
      </x:c>
      <x:c r="E5" s="65" t="str">
        <x:v>공통 지인을 통한 소개 요청과 함께 ‘헬스케어 운영 복잡도 해소’ 가치제안 전달</x:v>
      </x:c>
      <x:c r="F5" s="66" t="str">
        <x:v>제품 기능 소개보다 운영 문제와 확장 구조를 먼저 질문</x:v>
      </x:c>
    </x:row>
    <x:row r="6" ht="54" customHeight="1">
      <x:c r="A6" s="101" t="n">
        <x:v>1</x:v>
      </x:c>
      <x:c r="B6" s="102" t="str">
        <x:v>강성지</x:v>
      </x:c>
      <x:c r="C6" s="102" t="str">
        <x:v>높음</x:v>
      </x:c>
      <x:c r="D6" s="68" t="str">
        <x:v>병원·비대면·환자운영 흐름 파악</x:v>
      </x:c>
      <x:c r="E6" s="68" t="str">
        <x:v>슬립큐 운영 흐름을 맵핑하는 30분 discovery call 제안</x:v>
      </x:c>
      <x:c r="F6" s="69" t="str">
        <x:v>짧고 구체적인 인터뷰 형식 권장</x:v>
      </x:c>
    </x:row>
    <x:row r="7" ht="54" customHeight="1">
      <x:c r="A7" s="101" t="n">
        <x:v>1</x:v>
      </x:c>
      <x:c r="B7" s="102" t="str">
        <x:v>강성지</x:v>
      </x:c>
      <x:c r="C7" s="102" t="str">
        <x:v>높음</x:v>
      </x:c>
      <x:c r="D7" s="68" t="str">
        <x:v>해외 파트너 운영 PoC</x:v>
      </x:c>
      <x:c r="E7" s="68" t="str">
        <x:v>독일 현지화 또는 해외 파트너 운영에 맞는 운영 스택 PoC 제안</x:v>
      </x:c>
      <x:c r="F7" s="69" t="str">
        <x:v>실제 반복 업무와 데이터 흐름 중심</x:v>
      </x:c>
    </x:row>
    <x:row r="8" ht="54" customHeight="1">
      <x:c r="A8" s="101" t="n">
        <x:v>1</x:v>
      </x:c>
      <x:c r="B8" s="102" t="str">
        <x:v>강성지</x:v>
      </x:c>
      <x:c r="C8" s="102" t="str">
        <x:v>높음</x:v>
      </x:c>
      <x:c r="D8" s="68" t="str">
        <x:v>운영 자동화 기회 탐색</x:v>
      </x:c>
      <x:c r="E8" s="68" t="str">
        <x:v>환자 리텐션·파트너 온보딩·운영 대시보드 자동화 진단 워크숍 제안</x:v>
      </x:c>
      <x:c r="F8" s="69" t="str">
        <x:v>대규모 구축보다 진단형 워크숍으로 시작</x:v>
      </x:c>
    </x:row>
    <x:row r="9" ht="54" customHeight="1">
      <x:c r="A9" s="101" t="n">
        <x:v>2</x:v>
      </x:c>
      <x:c r="B9" s="102" t="str">
        <x:v>이은</x:v>
      </x:c>
      <x:c r="C9" s="102" t="str">
        <x:v>높음</x:v>
      </x:c>
      <x:c r="D9" s="68" t="str">
        <x:v>임상 도입 현실성 검증</x:v>
      </x:c>
      <x:c r="E9" s="68" t="str">
        <x:v>공동연구 또는 임상 워크플로우 자문 요청</x:v>
      </x:c>
      <x:c r="F9" s="69" t="str">
        <x:v>직접 영업 표현은 피하고 검증·연구 관점으로 접근</x:v>
      </x:c>
    </x:row>
    <x:row r="10" ht="54" customHeight="1">
      <x:c r="A10" s="101" t="n">
        <x:v>2</x:v>
      </x:c>
      <x:c r="B10" s="102" t="str">
        <x:v>이은</x:v>
      </x:c>
      <x:c r="C10" s="102" t="str">
        <x:v>높음</x:v>
      </x:c>
      <x:c r="D10" s="68" t="str">
        <x:v>도입 실패 요인 파악</x:v>
      </x:c>
      <x:c r="E10" s="68" t="str">
        <x:v>‘병원 현장에서 실제 안 쓰이는 이유’를 듣는 인터뷰 미팅 제안</x:v>
      </x:c>
      <x:c r="F10" s="69" t="str">
        <x:v>기능 홍보보다 현장 제약조건을 듣는 데 집중</x:v>
      </x:c>
    </x:row>
    <x:row r="11" ht="54" customHeight="1">
      <x:c r="A11" s="101" t="n">
        <x:v>2</x:v>
      </x:c>
      <x:c r="B11" s="102" t="str">
        <x:v>이은</x:v>
      </x:c>
      <x:c r="C11" s="102" t="str">
        <x:v>높음</x:v>
      </x:c>
      <x:c r="D11" s="68" t="str">
        <x:v>의료진 사용성 검토</x:v>
      </x:c>
      <x:c r="E11" s="68" t="str">
        <x:v>CrownOps 기능을 의료진 관점에서 짧게 리뷰해 달라는 자문 요청</x:v>
      </x:c>
      <x:c r="F11" s="69" t="str">
        <x:v>검토 범위를 좁혀 부담 최소화</x:v>
      </x:c>
    </x:row>
    <x:row r="12" ht="54" customHeight="1">
      <x:c r="A12" s="101" t="n">
        <x:v>3</x:v>
      </x:c>
      <x:c r="B12" s="102" t="str">
        <x:v>김영진</x:v>
      </x:c>
      <x:c r="C12" s="102" t="str">
        <x:v>높음</x:v>
      </x:c>
      <x:c r="D12" s="68" t="str">
        <x:v>유통·시장접근 및 대기업 제휴</x:v>
      </x:c>
      <x:c r="E12" s="68" t="str">
        <x:v>한독 디지털헬스·신사업 담당 조직 소개 요청</x:v>
      </x:c>
      <x:c r="F12" s="69" t="str">
        <x:v>대표 직접 제안보다 실무 조직을 먼저 연결</x:v>
      </x:c>
    </x:row>
    <x:row r="13" ht="54" customHeight="1">
      <x:c r="A13" s="101" t="n">
        <x:v>3</x:v>
      </x:c>
      <x:c r="B13" s="102" t="str">
        <x:v>김영진</x:v>
      </x:c>
      <x:c r="C13" s="102" t="str">
        <x:v>높음</x:v>
      </x:c>
      <x:c r="D13" s="68" t="str">
        <x:v>엔터프라이즈 운영 효율 제안</x:v>
      </x:c>
      <x:c r="E13" s="68" t="str">
        <x:v>‘운영 효율 개선’·‘파트너 실행력 향상’ 중심의 짧은 제안서 전달</x:v>
      </x:c>
      <x:c r="F13" s="69" t="str">
        <x:v>기술보다 비용·시간·운영 리스크 개선 효과 중심</x:v>
      </x:c>
    </x:row>
    <x:row r="14" ht="54" customHeight="1">
      <x:c r="A14" s="101" t="n">
        <x:v>3</x:v>
      </x:c>
      <x:c r="B14" s="102" t="str">
        <x:v>김영진</x:v>
      </x:c>
      <x:c r="C14" s="102" t="str">
        <x:v>높음</x:v>
      </x:c>
      <x:c r="D14" s="68" t="str">
        <x:v>채널 협업 탐색</x:v>
      </x:c>
      <x:c r="E14" s="68" t="str">
        <x:v>공동세일즈 또는 채널협업 가능성 탐색</x:v>
      </x:c>
      <x:c r="F14" s="69" t="str">
        <x:v>초기에는 협업 가설 검증 수준으로 제안</x:v>
      </x:c>
    </x:row>
    <x:row r="15" ht="54" customHeight="1">
      <x:c r="A15" s="101" t="n">
        <x:v>4</x:v>
      </x:c>
      <x:c r="B15" s="102" t="str">
        <x:v>백진기</x:v>
      </x:c>
      <x:c r="C15" s="102" t="str">
        <x:v>중간</x:v>
      </x:c>
      <x:c r="D15" s="68" t="str">
        <x:v>실무 도입 및 내부 프로세스 파악</x:v>
      </x:c>
      <x:c r="E15" s="68" t="str">
        <x:v>실무 운영팀 또는 디지털 전환 조직 소개 요청</x:v>
      </x:c>
      <x:c r="F15" s="69" t="str">
        <x:v>현업 pain point와 의사결정 구조를 먼저 파악</x:v>
      </x:c>
    </x:row>
    <x:row r="16" ht="54" customHeight="1">
      <x:c r="A16" s="101" t="n">
        <x:v>4</x:v>
      </x:c>
      <x:c r="B16" s="102" t="str">
        <x:v>백진기</x:v>
      </x:c>
      <x:c r="C16" s="102" t="str">
        <x:v>중간</x:v>
      </x:c>
      <x:c r="D16" s="68" t="str">
        <x:v>소규모 실행 검증</x:v>
      </x:c>
      <x:c r="E16" s="68" t="str">
        <x:v>작게 시작하는 automation PoC 범위 제시</x:v>
      </x:c>
      <x:c r="F16" s="69" t="str">
        <x:v>조달·승인 부담이 낮은 범위로 제한</x:v>
      </x:c>
    </x:row>
    <x:row r="17" ht="54" customHeight="1">
      <x:c r="A17" s="101" t="n">
        <x:v>4</x:v>
      </x:c>
      <x:c r="B17" s="102" t="str">
        <x:v>백진기</x:v>
      </x:c>
      <x:c r="C17" s="102" t="str">
        <x:v>중간</x:v>
      </x:c>
      <x:c r="D17" s="68" t="str">
        <x:v>조달·승인 구조 확인</x:v>
      </x:c>
      <x:c r="E17" s="68" t="str">
        <x:v>내부 조달·승인 프로세스와 현업 스폰서 조건 확인</x:v>
      </x:c>
      <x:c r="F17" s="69" t="str">
        <x:v>계약 제안 전 내부 절차를 먼저 확인</x:v>
      </x:c>
    </x:row>
    <x:row r="18" ht="54" customHeight="1">
      <x:c r="A18" s="101" t="n">
        <x:v>5</x:v>
      </x:c>
      <x:c r="B18" s="102" t="str">
        <x:v>이유진</x:v>
      </x:c>
      <x:c r="C18" s="102" t="str">
        <x:v>중간</x:v>
      </x:c>
      <x:c r="D18" s="68" t="str">
        <x:v>온보딩 및 행동변화 설계</x:v>
      </x:c>
      <x:c r="E18" s="68" t="str">
        <x:v>사용자 온보딩 문구와 FAQ에 대한 전문가 리뷰 요청</x:v>
      </x:c>
      <x:c r="F18" s="69" t="str">
        <x:v>짧은 문구 단위로 검토 범위 제한</x:v>
      </x:c>
    </x:row>
    <x:row r="19" ht="54" customHeight="1">
      <x:c r="A19" s="101" t="n">
        <x:v>5</x:v>
      </x:c>
      <x:c r="B19" s="102" t="str">
        <x:v>이유진</x:v>
      </x:c>
      <x:c r="C19" s="102" t="str">
        <x:v>중간</x:v>
      </x:c>
      <x:c r="D19" s="68" t="str">
        <x:v>순응도 메시지 설계</x:v>
      </x:c>
      <x:c r="E19" s="68" t="str">
        <x:v>행동변화 메시지 설계에 대한 30분 인터뷰 제안</x:v>
      </x:c>
      <x:c r="F19" s="69" t="str">
        <x:v>현재 소속과 접촉 경로 추가 확인 필요</x:v>
      </x:c>
    </x:row>
    <x:row r="20" ht="54" customHeight="1">
      <x:c r="A20" s="103" t="n">
        <x:v>5</x:v>
      </x:c>
      <x:c r="B20" s="104" t="str">
        <x:v>이유진</x:v>
      </x:c>
      <x:c r="C20" s="104" t="str">
        <x:v>중간</x:v>
      </x:c>
      <x:c r="D20" s="71" t="str">
        <x:v>임상 친화적 콘텐츠 검토</x:v>
      </x:c>
      <x:c r="E20" s="71" t="str">
        <x:v>콘텐츠·알림·리마인드 구조의 임상 친화성 검토 요청</x:v>
      </x:c>
      <x:c r="F20" s="72" t="str">
        <x:v>직접 제품 도입보다 콘텐츠 자문이 현실적</x:v>
      </x:c>
    </x:row>
  </x:sheetData>
  <x:mergeCells>
    <x:mergeCell ref="A1:F1"/>
    <x:mergeCell ref="A2:F2"/>
  </x:mergeCells>
  <x:conditionalFormatting sqref="C5:C20">
    <x:cfRule type="expression" dxfId="2" priority="1">
      <x:formula>C5="높음"</x:formula>
    </x:cfRule>
    <x:cfRule type="expression" dxfId="3" priority="2">
      <x:formula>C5="중간"</x:formula>
    </x:cfRule>
  </x:conditionalFormatting>
  <x:dataValidations count="1">
    <x:dataValidation type="list" sqref="C5:C20">
      <x:formula1>"높음,중간,낮음"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232c85e55844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32" hidden="0" customWidth="1"/>
    <x:col min="4" max="4" width="26" hidden="0" customWidth="1"/>
    <x:col min="5" max="5" width="38" hidden="0" customWidth="1"/>
    <x:col min="6" max="6" width="38" hidden="0" customWidth="1"/>
    <x:col min="7" max="7" width="30" hidden="0" customWidth="1"/>
    <x:col min="8" max="8" width="38" hidden="0" customWidth="1"/>
    <x:col min="9" max="9" width="38" hidden="0" customWidth="1"/>
    <x:col min="10" max="10" width="34" hidden="0" customWidth="1"/>
    <x:col min="11" max="11" width="10" hidden="0" customWidth="1"/>
    <x:col min="12" max="12" width="40" hidden="0" customWidth="1"/>
    <x:col min="13" max="13" width="38" hidden="0" customWidth="1"/>
    <x:col min="14" max="14" width="14" hidden="0" customWidth="1"/>
  </x:cols>
  <x:sheetData>
    <x:row r="1" ht="34" customHeight="1">
      <x:c r="A1" s="162" t="str">
        <x:v>대한치과기공학회 제19대 임원 프로필 조사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</x:row>
    <x:row r="2" ht="34" customHeight="1">
      <x:c r="A2" s="166" t="str">
        <x:v>공식 명칭은 ‘대한치과기공학회’입니다. 조직도 링크와 2026년 공식 치과기보의 제19대 임원 명단을 기준으로 작성했으며, 학력·소속이 확인되지 않은 인물은 동명이인 오인 방지를 위해 추정하지 않았습니다.</x:v>
      </x:c>
      <x:c r="B2" s="166"/>
      <x:c r="C2" s="166"/>
      <x:c r="D2" s="166"/>
      <x:c r="E2" s="166"/>
      <x:c r="F2" s="166"/>
      <x:c r="G2" s="166"/>
      <x:c r="H2" s="166"/>
      <x:c r="I2" s="166"/>
      <x:c r="J2" s="166"/>
      <x:c r="K2" s="166"/>
      <x:c r="L2" s="166"/>
      <x:c r="M2" s="166"/>
      <x:c r="N2" s="166"/>
    </x:row>
    <x:row r="4" ht="24" customHeight="1">
      <x:c r="A4" s="175" t="str">
        <x:v>총 임원</x:v>
      </x:c>
      <x:c r="B4" s="176" t="n">
        <x:v>15</x:v>
      </x:c>
      <x:c r="C4" s="176" t="str">
        <x:v>A등급</x:v>
      </x:c>
      <x:c r="D4" s="176" t="n">
        <x:f>COUNTIF($K$8:$K$22,"A")</x:f>
        <x:v>2</x:v>
      </x:c>
      <x:c r="E4" s="176" t="str">
        <x:v>B등급</x:v>
      </x:c>
      <x:c r="F4" s="176" t="n">
        <x:f>COUNTIF($K$8:$K$22,"B")</x:f>
        <x:v>2</x:v>
      </x:c>
      <x:c r="G4" s="176" t="str">
        <x:v>C등급</x:v>
      </x:c>
      <x:c r="H4" s="177" t="n">
        <x:f>COUNTIF($K$8:$K$22,"C")</x:f>
        <x:v>11</x:v>
      </x:c>
      <x:c r="I4" s="186" t="str">
        <x:v>A: 개인 경력·성과까지 공식 확인 / B: 직책·공식 활동 확인, 학력 등 일부 미확인 / C: 현 임원 직책만 확인</x:v>
      </x:c>
      <x:c r="J4" s="187"/>
      <x:c r="K4" s="187"/>
      <x:c r="L4" s="187"/>
      <x:c r="M4" s="187"/>
      <x:c r="N4" s="188"/>
    </x:row>
    <x:row r="6" ht="24" customHeight="1">
      <x:c r="A6" s="192" t="str">
        <x:v>조직도 원문: http://soci.kdtech.or.kr/bbs/content.php?co_id=0103organization  |  임원 명단 교차 확인: https://www.kdtech.or.kr/files/18872</x:v>
      </x:c>
      <x:c r="B6" s="192"/>
      <x:c r="C6" s="192"/>
      <x:c r="D6" s="192"/>
      <x:c r="E6" s="192"/>
      <x:c r="F6" s="192"/>
      <x:c r="G6" s="192"/>
      <x:c r="H6" s="192"/>
      <x:c r="I6" s="192"/>
      <x:c r="J6" s="192"/>
      <x:c r="K6" s="192"/>
      <x:c r="L6" s="192"/>
      <x:c r="M6" s="192"/>
      <x:c r="N6" s="192"/>
    </x:row>
    <x:row r="7" ht="34" customHeight="1">
      <x:c r="A7" s="204" t="str">
        <x:v>학회 직책</x:v>
      </x:c>
      <x:c r="B7" s="205" t="str">
        <x:v>이름</x:v>
      </x:c>
      <x:c r="C7" s="205" t="str">
        <x:v>확인된 현직·소속</x:v>
      </x:c>
      <x:c r="D7" s="205" t="str">
        <x:v>학력</x:v>
      </x:c>
      <x:c r="E7" s="205" t="str">
        <x:v>이전 경력·창업</x:v>
      </x:c>
      <x:c r="F7" s="205" t="str">
        <x:v>언론·기고 활동</x:v>
      </x:c>
      <x:c r="G7" s="205" t="str">
        <x:v>주된 전문 분야</x:v>
      </x:c>
      <x:c r="H7" s="205" t="str">
        <x:v>대표 성과</x:v>
      </x:c>
      <x:c r="I7" s="205" t="str">
        <x:v>최근 성과</x:v>
      </x:c>
      <x:c r="J7" s="205" t="str">
        <x:v>확인 상태</x:v>
      </x:c>
      <x:c r="K7" s="205" t="str">
        <x:v>검증 등급</x:v>
      </x:c>
      <x:c r="L7" s="205" t="str">
        <x:v>특이사항·CrownOps 접점</x:v>
      </x:c>
      <x:c r="M7" s="205" t="str">
        <x:v>출처 URL</x:v>
      </x:c>
      <x:c r="N7" s="206" t="str">
        <x:v>조사 기준일</x:v>
      </x:c>
    </x:row>
    <x:row r="8" ht="104" customHeight="1">
      <x:c r="A8" s="247" t="str">
        <x:v>회장</x:v>
      </x:c>
      <x:c r="B8" s="248" t="str">
        <x:v>이정수</x:v>
      </x:c>
      <x:c r="C8" s="236" t="str">
        <x:v>대한치과기공학회 제19대 회장 · 대한치과기공사협회 학술담당 부회장</x:v>
      </x:c>
      <x:c r="D8" s="236" t="str">
        <x:v>공개 공식 자료에서 학위 수여 대학·학위 이력 확인되지 않음</x:v>
      </x:c>
      <x:c r="E8" s="236" t="str">
        <x:v>치과기공사협회 학술담당 부회장으로 KDTEX 학술 프로그램 기획에 참여. 개인 창업·이전 근무처는 공개 근거 미확인.</x:v>
      </x:c>
      <x:c r="F8" s="236" t="str">
        <x:v>2026년 치과기보 인터뷰에서 KDTEX 2026을 실무 활용 중심의 라이브 강의로 구성하고 해외 연자를 섭외 중이라고 설명.</x:v>
      </x:c>
      <x:c r="G8" s="236" t="str">
        <x:v>학술대회 기획 · 디지털 치과기공 교육 · 학회지 운영 및 연구 활성화</x:v>
      </x:c>
      <x:c r="H8" s="236" t="str">
        <x:v>제19대 학회를 이끌며 대한치과기공학회지 등재 유지, 투고 논문 확대 및 우수 논문 발굴을 핵심 과제로 제시.</x:v>
      </x:c>
      <x:c r="I8" s="236" t="str">
        <x:v>2026년 3월 제1차 임원·분과학회장 연석회의 주재 및 제19대 임원 위촉. KDTEX 2026 학술 프로그램 준비.</x:v>
      </x:c>
      <x:c r="J8" s="236" t="str">
        <x:v>현재 직책과 최근 활동은 공식 치과기보에서 확인. 학력·초기 경력·개인 사업체는 미확인.</x:v>
      </x:c>
      <x:c r="K8" s="248" t="str">
        <x:v>B</x:v>
      </x:c>
      <x:c r="L8" s="236" t="str">
        <x:v>학회 전체 의사결정과 학술대회·학회지 방향을 함께 보는 최상위 접점. CrownOps의 교육·연구 데이터 구조화 제안을 검토할 가능성이 높음.</x:v>
      </x:c>
      <x:c r="M8" s="236" t="str">
        <x:v>http://soci.kdtech.or.kr/bbs/content.php?co_id=0103organization
https://www.kdtech.or.kr/files/18872
https://www.kdtech.or.kr/files/18874</x:v>
      </x:c>
      <x:c r="N8" s="255" t="str">
        <x:v>2026-07-16</x:v>
      </x:c>
    </x:row>
    <x:row r="9" ht="104" customHeight="1">
      <x:c r="A9" s="249" t="str">
        <x:v>수석부회장</x:v>
      </x:c>
      <x:c r="B9" s="250" t="str">
        <x:v>이주희</x:v>
      </x:c>
      <x:c r="C9" s="239" t="str">
        <x:v>대한치과기공학회 제19대 수석부회장</x:v>
      </x:c>
      <x:c r="D9" s="239" t="str">
        <x:v>공개 공식 자료에서 확인되지 않음</x:v>
      </x:c>
      <x:c r="E9" s="239" t="str">
        <x:v>개인 이전 경력·창업 이력은 공개 근거 미확인.</x:v>
      </x:c>
      <x:c r="F9" s="239" t="str">
        <x:v>개인 명의 언론 인터뷰·기고 활동은 이번 조사에서 확인되지 않음.</x:v>
      </x:c>
      <x:c r="G9" s="239" t="str">
        <x:v>학회 운영 총괄 보좌 · 학술·조직 거버넌스(직책 기준)</x:v>
      </x:c>
      <x:c r="H9" s="239" t="str">
        <x:v>제19대 수석부회장 선임. 개인 단독 대표 성과는 공개 자료에서 확인되지 않음.</x:v>
      </x:c>
      <x:c r="I9" s="239" t="str">
        <x:v>2026년 3월 제19대 임원으로 위촉되어 임원·분과학회장 연석회의에 참여.</x:v>
      </x:c>
      <x:c r="J9" s="239" t="str">
        <x:v>공식 자료에서 현재 직책만 확인. 동명이인 가능성 때문에 대학·기관 소속과 학력은 기재하지 않음.</x:v>
      </x:c>
      <x:c r="K9" s="250" t="str">
        <x:v>C</x:v>
      </x:c>
      <x:c r="L9" s="239" t="str">
        <x:v>회장 다음의 핵심 의사결정 접점이지만 개인 배경 확인이 선행돼야 함. 학회 사무국을 통한 공식 소개가 적절.</x:v>
      </x:c>
      <x:c r="M9" s="239" t="str">
        <x:v>http://soci.kdtech.or.kr/bbs/content.php?co_id=0103organization
https://www.kdtech.or.kr/files/18872</x:v>
      </x:c>
      <x:c r="N9" s="256" t="str">
        <x:v>2026-07-16</x:v>
      </x:c>
    </x:row>
    <x:row r="10" ht="104" customHeight="1">
      <x:c r="A10" s="251" t="str">
        <x:v>부회장</x:v>
      </x:c>
      <x:c r="B10" s="252" t="str">
        <x:v>김재홍</x:v>
      </x:c>
      <x:c r="C10" s="242" t="str">
        <x:v>대한치과기공학회 제19대 부회장</x:v>
      </x:c>
      <x:c r="D10" s="242" t="str">
        <x:v>공개 공식 자료에서 확인되지 않음</x:v>
      </x:c>
      <x:c r="E10" s="242" t="str">
        <x:v>동명이인이 많아 치과기공 분야의 특정 대학·기관 경력 또는 창업 이력을 확정하지 못함.</x:v>
      </x:c>
      <x:c r="F10" s="242" t="str">
        <x:v>동일 이름의 연구자·언론 자료를 본인 것으로 확정할 수 없어 미기재.</x:v>
      </x:c>
      <x:c r="G10" s="242" t="str">
        <x:v>학회 운영 및 학술사업 지원(직책 기준)</x:v>
      </x:c>
      <x:c r="H10" s="242" t="str">
        <x:v>제19대 부회장 선임. 개인 단독 대표 성과는 공개 근거 미확인.</x:v>
      </x:c>
      <x:c r="I10" s="242" t="str">
        <x:v>2026년 3월 제19대 임원 위촉 및 연석회의 참여.</x:v>
      </x:c>
      <x:c r="J10" s="242" t="str">
        <x:v>현재 직책만 공식 확인. 소속·학력·논문은 동명이인 검증 전까지 미확인 처리.</x:v>
      </x:c>
      <x:c r="K10" s="252" t="str">
        <x:v>C</x:v>
      </x:c>
      <x:c r="L10" s="242" t="str">
        <x:v>동명이인 위험이 특히 큼. 학회 사무국 또는 본인 프로필 링크를 확보한 뒤 연구 실적을 연결해야 함.</x:v>
      </x:c>
      <x:c r="M10" s="242" t="str">
        <x:v>http://soci.kdtech.or.kr/bbs/content.php?co_id=0103organization
https://www.kdtech.or.kr/files/18872</x:v>
      </x:c>
      <x:c r="N10" s="257" t="str">
        <x:v>2026-07-16</x:v>
      </x:c>
    </x:row>
    <x:row r="11" ht="104" customHeight="1">
      <x:c r="A11" s="249" t="str">
        <x:v>부회장</x:v>
      </x:c>
      <x:c r="B11" s="250" t="str">
        <x:v>김종우</x:v>
      </x:c>
      <x:c r="C11" s="239" t="str">
        <x:v>대한치과기공학회 제19대 부회장 · 대한치과기공사협회 학술이사</x:v>
      </x:c>
      <x:c r="D11" s="239" t="str">
        <x:v>공개 공식 자료에서 학위 이력 확인되지 않음</x:v>
      </x:c>
      <x:c r="E11" s="239" t="str">
        <x:v>치과기공사협회 학술이사로 대외 학술·회무 활동에 참여. 개인 창업·이전 근무처는 미확인.</x:v>
      </x:c>
      <x:c r="F11" s="239" t="str">
        <x:v>개인 명의 기고는 확인되지 않았으나 협회 공식 활동 기록에서 학술이사로 여러 현장 일정에 참여한 사실이 확인됨.</x:v>
      </x:c>
      <x:c r="G11" s="239" t="str">
        <x:v>학술사업 · 보수교육 · 치과기공사 제도 및 현장 조사</x:v>
      </x:c>
      <x:c r="H11" s="239" t="str">
        <x:v>학술이사로 협회 학술 활동과 전국 면허신고 실태 현장조사 관련 일정에 참여.</x:v>
      </x:c>
      <x:c r="I11" s="239" t="str">
        <x:v>2026년 2월 경기회 정기대의원총회 참석, 전국 16개 시도지부 면허신고 실태현장조사 발대식 참여. 3월 학회 부회장 위촉.</x:v>
      </x:c>
      <x:c r="J11" s="239" t="str">
        <x:v>학회·협회 직책과 최근 활동은 공식 치과기보에서 확인. 학력·주 소속기관은 미확인.</x:v>
      </x:c>
      <x:c r="K11" s="250" t="str">
        <x:v>B</x:v>
      </x:c>
      <x:c r="L11" s="239" t="str">
        <x:v>학술과 제도 현장을 함께 경험하는 접점. 데이터 표준·교육 체크리스트·면허 직무 범위 관련 의견 청취 대상으로 적합.</x:v>
      </x:c>
      <x:c r="M11" s="239" t="str">
        <x:v>http://soci.kdtech.or.kr/bbs/content.php?co_id=0103organization
https://www.kdtech.or.kr/files/18872</x:v>
      </x:c>
      <x:c r="N11" s="256" t="str">
        <x:v>2026-07-16</x:v>
      </x:c>
    </x:row>
    <x:row r="12" ht="104" customHeight="1">
      <x:c r="A12" s="251" t="str">
        <x:v>부회장</x:v>
      </x:c>
      <x:c r="B12" s="252" t="str">
        <x:v>전병욱</x:v>
      </x:c>
      <x:c r="C12" s="242" t="str">
        <x:v>대한치과기공학회 제19대 부회장</x:v>
      </x:c>
      <x:c r="D12" s="242" t="str">
        <x:v>공개 공식 자료에서 확인되지 않음</x:v>
      </x:c>
      <x:c r="E12" s="242" t="str">
        <x:v>개인 이전 경력·창업 이력은 공개 근거 미확인.</x:v>
      </x:c>
      <x:c r="F12" s="242" t="str">
        <x:v>개인 명의 언론·기고 활동은 이번 조사에서 확인되지 않음.</x:v>
      </x:c>
      <x:c r="G12" s="242" t="str">
        <x:v>학회 운영 및 학술사업 지원(직책 기준)</x:v>
      </x:c>
      <x:c r="H12" s="242" t="str">
        <x:v>제19대 부회장 선임. 개인 단독 대표 성과는 공개 근거 미확인.</x:v>
      </x:c>
      <x:c r="I12" s="242" t="str">
        <x:v>2026년 3월 제19대 임원 위촉 및 연석회의 참여.</x:v>
      </x:c>
      <x:c r="J12" s="242" t="str">
        <x:v>현재 직책만 공식 확인. 동명이인 검증을 위해 추가 프로필 자료 필요.</x:v>
      </x:c>
      <x:c r="K12" s="252" t="str">
        <x:v>C</x:v>
      </x:c>
      <x:c r="L12" s="242" t="str">
        <x:v>공식 소개 전 개인 소속 확인 필요. 부회장단 공동 미팅 또는 학회 워크숍 접점이 현실적.</x:v>
      </x:c>
      <x:c r="M12" s="242" t="str">
        <x:v>http://soci.kdtech.or.kr/bbs/content.php?co_id=0103organization
https://www.kdtech.or.kr/files/18872</x:v>
      </x:c>
      <x:c r="N12" s="257" t="str">
        <x:v>2026-07-16</x:v>
      </x:c>
    </x:row>
    <x:row r="13" ht="104" customHeight="1">
      <x:c r="A13" s="249" t="str">
        <x:v>부회장</x:v>
      </x:c>
      <x:c r="B13" s="250" t="str">
        <x:v>이영준</x:v>
      </x:c>
      <x:c r="C13" s="239" t="str">
        <x:v>대한치과기공학회 제19대 부회장 · 서울시치과기공사회 부회장 · 대한심미치과학회 이사</x:v>
      </x:c>
      <x:c r="D13" s="239" t="str">
        <x:v>공개 공식 자료에서 학위 수여 대학·학위 이력 확인되지 않음</x:v>
      </x:c>
      <x:c r="E13" s="239" t="str">
        <x:v>2006~2013년 열린치과의사회 소속으로 서울노인복지센터에서 노인·의료취약계층 대상 틀니 제작·수리 봉사. 서울회 학술위원 및 대한심미치과학회 이사 활동.</x:v>
      </x:c>
      <x:c r="F13" s="239" t="str">
        <x:v>2026년 치과기보가 보건복지부장관 표창 수상 배경으로 봉사, 대학생 멘토링, 학술 활동을 상세 소개.</x:v>
      </x:c>
      <x:c r="G13" s="239" t="str">
        <x:v>심미치과기공 · 틀니 제작·수리 · 현장 봉사 · 예비 치과기공사 진로 멘토링 · 학술교육</x:v>
      </x:c>
      <x:c r="H13" s="239" t="str">
        <x:v>장기간 취약계층 보철 봉사, 서울회 학술대회·교육 프로그램 기획 및 심미치과기공 학술 교류에 기여.</x:v>
      </x:c>
      <x:c r="I13" s="239" t="str">
        <x:v>2023년부터 부천대·신한대·연성대·김천대 학생 대상 직업 멘토링을 운영했으며, 2026년 제60차 정기대의원총회에서 보건복지부장관 표창 수상.</x:v>
      </x:c>
      <x:c r="J13" s="239" t="str">
        <x:v>최근 활동·직책·표창 사유는 공식 치과기보에서 확인. 학력과 현재 운영 사업체는 미확인.</x:v>
      </x:c>
      <x:c r="K13" s="250" t="str">
        <x:v>A</x:v>
      </x:c>
      <x:c r="L13" s="239" t="str">
        <x:v>현장 실무·봉사·교육 네트워크를 동시에 보유. 학생–현장 연결, 교육용 체크리스트, 사용자 인터뷰 대상자로 활용 가치가 높음.</x:v>
      </x:c>
      <x:c r="M13" s="239" t="str">
        <x:v>http://soci.kdtech.or.kr/bbs/content.php?co_id=0103organization
https://www.kdtech.or.kr/files/18872</x:v>
      </x:c>
      <x:c r="N13" s="256" t="str">
        <x:v>2026-07-16</x:v>
      </x:c>
    </x:row>
    <x:row r="14" ht="104" customHeight="1">
      <x:c r="A14" s="251" t="str">
        <x:v>부회장</x:v>
      </x:c>
      <x:c r="B14" s="252" t="str">
        <x:v>김소민</x:v>
      </x:c>
      <x:c r="C14" s="242" t="str">
        <x:v>대한치과기공학회 제19대 부회장</x:v>
      </x:c>
      <x:c r="D14" s="242" t="str">
        <x:v>공개 공식 자료에서 확인되지 않음</x:v>
      </x:c>
      <x:c r="E14" s="242" t="str">
        <x:v>개인 이전 경력·창업 이력은 공개 근거 미확인.</x:v>
      </x:c>
      <x:c r="F14" s="242" t="str">
        <x:v>개인 명의 언론·기고 활동은 이번 조사에서 확인되지 않음.</x:v>
      </x:c>
      <x:c r="G14" s="242" t="str">
        <x:v>학회 운영 및 학술사업 지원(직책 기준)</x:v>
      </x:c>
      <x:c r="H14" s="242" t="str">
        <x:v>제19대 부회장 선임. 개인 단독 대표 성과는 공개 근거 미확인.</x:v>
      </x:c>
      <x:c r="I14" s="242" t="str">
        <x:v>2026년 3월 제19대 임원 위촉 및 연석회의 참여.</x:v>
      </x:c>
      <x:c r="J14" s="242" t="str">
        <x:v>공식 직책만 확인. 협회 회원 명단의 동명이인과 동일인인지 판단할 수 없어 소속을 확정하지 않음.</x:v>
      </x:c>
      <x:c r="K14" s="252" t="str">
        <x:v>C</x:v>
      </x:c>
      <x:c r="L14" s="242" t="str">
        <x:v>동명이인 식별이 필요함. 학회 공식 이메일을 통한 소속 확인 후 추가 조사 권장.</x:v>
      </x:c>
      <x:c r="M14" s="242" t="str">
        <x:v>http://soci.kdtech.or.kr/bbs/content.php?co_id=0103organization
https://www.kdtech.or.kr/files/18872</x:v>
      </x:c>
      <x:c r="N14" s="257" t="str">
        <x:v>2026-07-16</x:v>
      </x:c>
    </x:row>
    <x:row r="15" ht="104" customHeight="1">
      <x:c r="A15" s="249" t="str">
        <x:v>총무이사</x:v>
      </x:c>
      <x:c r="B15" s="250" t="str">
        <x:v>연원모</x:v>
      </x:c>
      <x:c r="C15" s="239" t="str">
        <x:v>대한치과기공학회 제19대 총무이사</x:v>
      </x:c>
      <x:c r="D15" s="239" t="str">
        <x:v>공개 공식 자료에서 확인되지 않음</x:v>
      </x:c>
      <x:c r="E15" s="239" t="str">
        <x:v>개인 이전 경력·창업 이력은 공개 근거 미확인.</x:v>
      </x:c>
      <x:c r="F15" s="239" t="str">
        <x:v>개인 명의 언론·기고 활동은 이번 조사에서 확인되지 않음.</x:v>
      </x:c>
      <x:c r="G15" s="239" t="str">
        <x:v>학회 행정 · 임원·분과학회 일정 조율 · 회무 운영(직책 기준)</x:v>
      </x:c>
      <x:c r="H15" s="239" t="str">
        <x:v>제19대 총무이사 선임. 개인 단독 성과는 공개 근거 미확인.</x:v>
      </x:c>
      <x:c r="I15" s="239" t="str">
        <x:v>2026년 3월 제19대 임원 위촉 및 연석회의 참여.</x:v>
      </x:c>
      <x:c r="J15" s="239" t="str">
        <x:v>공식 직책만 확인. 학력·주 소속기관 미확인.</x:v>
      </x:c>
      <x:c r="K15" s="250" t="str">
        <x:v>C</x:v>
      </x:c>
      <x:c r="L15" s="239" t="str">
        <x:v>실제 연락·회의·자료 전달을 담당할 가능성이 높은 실무 창구. 협력 제안 전달 경로 확인에 중요.</x:v>
      </x:c>
      <x:c r="M15" s="239" t="str">
        <x:v>http://soci.kdtech.or.kr/bbs/content.php?co_id=0103organization
https://www.kdtech.or.kr/files/18872</x:v>
      </x:c>
      <x:c r="N15" s="256" t="str">
        <x:v>2026-07-16</x:v>
      </x:c>
    </x:row>
    <x:row r="16" ht="104" customHeight="1">
      <x:c r="A16" s="251" t="str">
        <x:v>재무이사</x:v>
      </x:c>
      <x:c r="B16" s="252" t="str">
        <x:v>정혜은</x:v>
      </x:c>
      <x:c r="C16" s="242" t="str">
        <x:v>대한치과기공학회 제19대 재무이사</x:v>
      </x:c>
      <x:c r="D16" s="242" t="str">
        <x:v>공개 공식 자료에서 확인되지 않음</x:v>
      </x:c>
      <x:c r="E16" s="242" t="str">
        <x:v>개인 이전 경력·창업 이력은 공개 근거 미확인.</x:v>
      </x:c>
      <x:c r="F16" s="242" t="str">
        <x:v>개인 명의 언론·기고 활동은 이번 조사에서 확인되지 않음.</x:v>
      </x:c>
      <x:c r="G16" s="242" t="str">
        <x:v>학회 예산·재무 운영(직책 기준)</x:v>
      </x:c>
      <x:c r="H16" s="242" t="str">
        <x:v>제19대 재무이사 선임. 개인 단독 성과는 공개 근거 미확인.</x:v>
      </x:c>
      <x:c r="I16" s="242" t="str">
        <x:v>2026년 3월 제19대 임원 위촉 및 연석회의 참여.</x:v>
      </x:c>
      <x:c r="J16" s="242" t="str">
        <x:v>공식 직책만 확인. 학력·주 소속기관 미확인.</x:v>
      </x:c>
      <x:c r="K16" s="252" t="str">
        <x:v>C</x:v>
      </x:c>
      <x:c r="L16" s="242" t="str">
        <x:v>공동연구·행사·용역의 예산 구조를 논의할 때 필요한 내부 실행 접점.</x:v>
      </x:c>
      <x:c r="M16" s="242" t="str">
        <x:v>http://soci.kdtech.or.kr/bbs/content.php?co_id=0103organization
https://www.kdtech.or.kr/files/18872</x:v>
      </x:c>
      <x:c r="N16" s="257" t="str">
        <x:v>2026-07-16</x:v>
      </x:c>
    </x:row>
    <x:row r="17" ht="104" customHeight="1">
      <x:c r="A17" s="249" t="str">
        <x:v>편집이사</x:v>
      </x:c>
      <x:c r="B17" s="250" t="str">
        <x:v>김동연</x:v>
      </x:c>
      <x:c r="C17" s="239" t="str">
        <x:v>대한치과기공학회 제19대 편집이사</x:v>
      </x:c>
      <x:c r="D17" s="239" t="str">
        <x:v>공개 공식 자료에서 확인되지 않음</x:v>
      </x:c>
      <x:c r="E17" s="239" t="str">
        <x:v>개인 이전 경력·창업 이력은 공개 근거 미확인.</x:v>
      </x:c>
      <x:c r="F17" s="239" t="str">
        <x:v>개인 명의 언론·기고 활동은 이번 조사에서 확인되지 않음.</x:v>
      </x:c>
      <x:c r="G17" s="239" t="str">
        <x:v>학회지 편집 · 연구윤리 · 투고 및 심사 체계(직책 기준)</x:v>
      </x:c>
      <x:c r="H17" s="239" t="str">
        <x:v>제19대 편집이사 선임. 학회는 2026년 학회지 편집위원 재구성, 연구윤리규정 개정 및 등재 유지 대응을 추진.</x:v>
      </x:c>
      <x:c r="I17" s="239" t="str">
        <x:v>2026년 3월 연석회의에서 학회지 48-1호 발행, 편집위원 구성 및 연구윤리규정 개정 논의에 참여한 임원단으로 확인.</x:v>
      </x:c>
      <x:c r="J17" s="239" t="str">
        <x:v>공식 직책과 임원단 공동 과제만 확인. 개인 학력·논문·소속은 미확인.</x:v>
      </x:c>
      <x:c r="K17" s="250" t="str">
        <x:v>C</x:v>
      </x:c>
      <x:c r="L17" s="239" t="str">
        <x:v>논문화·공동연구·데이터 논문 투고 가능성을 논의할 핵심 실무 직책. 개인 프로필 확인 후 우선 접촉 가치가 큼.</x:v>
      </x:c>
      <x:c r="M17" s="239" t="str">
        <x:v>http://soci.kdtech.or.kr/bbs/content.php?co_id=0103organization
https://www.kdtech.or.kr/files/18872</x:v>
      </x:c>
      <x:c r="N17" s="256" t="str">
        <x:v>2026-07-16</x:v>
      </x:c>
    </x:row>
    <x:row r="18" ht="104" customHeight="1">
      <x:c r="A18" s="251" t="str">
        <x:v>홍보이사</x:v>
      </x:c>
      <x:c r="B18" s="252" t="str">
        <x:v>허원성</x:v>
      </x:c>
      <x:c r="C18" s="242" t="str">
        <x:v>대한치과기공학회 제19대 홍보이사</x:v>
      </x:c>
      <x:c r="D18" s="242" t="str">
        <x:v>공개 공식 자료에서 확인되지 않음</x:v>
      </x:c>
      <x:c r="E18" s="242" t="str">
        <x:v>개인 이전 경력·창업 이력은 공개 근거 미확인.</x:v>
      </x:c>
      <x:c r="F18" s="242" t="str">
        <x:v>개인 명의 언론·기고 활동은 이번 조사에서 확인되지 않음.</x:v>
      </x:c>
      <x:c r="G18" s="242" t="str">
        <x:v>학회 홍보 · 대외 커뮤니케이션 · 행사 확산(직책 기준)</x:v>
      </x:c>
      <x:c r="H18" s="242" t="str">
        <x:v>제19대 홍보이사 선임. 개인 단독 성과는 공개 근거 미확인.</x:v>
      </x:c>
      <x:c r="I18" s="242" t="str">
        <x:v>2026년 3월 제19대 임원 위촉 및 연석회의 참여.</x:v>
      </x:c>
      <x:c r="J18" s="242" t="str">
        <x:v>공식 직책만 확인. 학력·주 소속기관 미확인.</x:v>
      </x:c>
      <x:c r="K18" s="252" t="str">
        <x:v>C</x:v>
      </x:c>
      <x:c r="L18" s="242" t="str">
        <x:v>협력 성과의 대외 홍보, 학회 회원 대상 파일럿 모집 및 설문 배포를 연결할 수 있는 역할.</x:v>
      </x:c>
      <x:c r="M18" s="242" t="str">
        <x:v>http://soci.kdtech.or.kr/bbs/content.php?co_id=0103organization
https://www.kdtech.or.kr/files/18872</x:v>
      </x:c>
      <x:c r="N18" s="257" t="str">
        <x:v>2026-07-16</x:v>
      </x:c>
    </x:row>
    <x:row r="19" ht="104" customHeight="1">
      <x:c r="A19" s="249" t="str">
        <x:v>정책기획이사</x:v>
      </x:c>
      <x:c r="B19" s="250" t="str">
        <x:v>유재훈</x:v>
      </x:c>
      <x:c r="C19" s="239" t="str">
        <x:v>대한치과기공학회 제19대 정책기획이사</x:v>
      </x:c>
      <x:c r="D19" s="239" t="str">
        <x:v>공개 공식 자료에서 확인되지 않음</x:v>
      </x:c>
      <x:c r="E19" s="239" t="str">
        <x:v>개인 이전 경력·창업 이력은 공개 근거 미확인.</x:v>
      </x:c>
      <x:c r="F19" s="239" t="str">
        <x:v>개인 명의 언론·기고 활동은 이번 조사에서 확인되지 않음.</x:v>
      </x:c>
      <x:c r="G19" s="239" t="str">
        <x:v>학회 정책·중장기 사업 기획 · 연구 아젠다 설정(직책 기준)</x:v>
      </x:c>
      <x:c r="H19" s="239" t="str">
        <x:v>제19대 정책기획이사 선임. 개인 단독 성과는 공개 근거 미확인.</x:v>
      </x:c>
      <x:c r="I19" s="239" t="str">
        <x:v>2026년 3월 제19대 임원 위촉 및 연석회의 참여.</x:v>
      </x:c>
      <x:c r="J19" s="239" t="str">
        <x:v>공식 직책만 확인. 학력·주 소속기관 미확인.</x:v>
      </x:c>
      <x:c r="K19" s="250" t="str">
        <x:v>C</x:v>
      </x:c>
      <x:c r="L19" s="239" t="str">
        <x:v>데이터 표준화, 연구 벤치마크, 산학협력 의제처럼 중장기 구조를 제안할 때 핵심 접점.</x:v>
      </x:c>
      <x:c r="M19" s="239" t="str">
        <x:v>http://soci.kdtech.or.kr/bbs/content.php?co_id=0103organization
https://www.kdtech.or.kr/files/18872</x:v>
      </x:c>
      <x:c r="N19" s="256" t="str">
        <x:v>2026-07-16</x:v>
      </x:c>
    </x:row>
    <x:row r="20" ht="104" customHeight="1">
      <x:c r="A20" s="251" t="str">
        <x:v>국제사업이사</x:v>
      </x:c>
      <x:c r="B20" s="252" t="str">
        <x:v>박종경</x:v>
      </x:c>
      <x:c r="C20" s="242" t="str">
        <x:v>대한치과기공학회 제19대 국제사업이사</x:v>
      </x:c>
      <x:c r="D20" s="242" t="str">
        <x:v>공개 공식 자료에서 확인되지 않음</x:v>
      </x:c>
      <x:c r="E20" s="242" t="str">
        <x:v>개인 이전 경력·창업 이력은 공개 근거 미확인.</x:v>
      </x:c>
      <x:c r="F20" s="242" t="str">
        <x:v>개인 명의 언론·기고 활동은 이번 조사에서 확인되지 않음.</x:v>
      </x:c>
      <x:c r="G20" s="242" t="str">
        <x:v>국제교류 · 해외 학술·산업 네트워크 · 국제사업(직책 기준)</x:v>
      </x:c>
      <x:c r="H20" s="242" t="str">
        <x:v>제19대 국제사업이사 선임. 개인 단독 성과는 공개 근거 미확인.</x:v>
      </x:c>
      <x:c r="I20" s="242" t="str">
        <x:v>2026년 3월 제19대 임원 위촉 및 연석회의 참여.</x:v>
      </x:c>
      <x:c r="J20" s="242" t="str">
        <x:v>공식 직책만 확인. 해외 활동·학력·주 소속기관 미확인.</x:v>
      </x:c>
      <x:c r="K20" s="252" t="str">
        <x:v>C</x:v>
      </x:c>
      <x:c r="L20" s="242" t="str">
        <x:v>국제 표준·해외 학회·글로벌 치기공 데이터 협력 가능성을 탐색할 접점.</x:v>
      </x:c>
      <x:c r="M20" s="242" t="str">
        <x:v>http://soci.kdtech.or.kr/bbs/content.php?co_id=0103organization
https://www.kdtech.or.kr/files/18872</x:v>
      </x:c>
      <x:c r="N20" s="257" t="str">
        <x:v>2026-07-16</x:v>
      </x:c>
    </x:row>
    <x:row r="21" ht="104" customHeight="1">
      <x:c r="A21" s="249" t="str">
        <x:v>학술이사</x:v>
      </x:c>
      <x:c r="B21" s="250" t="str">
        <x:v>김장현</x:v>
      </x:c>
      <x:c r="C21" s="239" t="str">
        <x:v>대한치과기공학회 제19대 학술이사</x:v>
      </x:c>
      <x:c r="D21" s="239" t="str">
        <x:v>공개 공식 자료에서 확인되지 않음</x:v>
      </x:c>
      <x:c r="E21" s="239" t="str">
        <x:v>개인 이전 경력·창업 이력은 공개 근거 미확인.</x:v>
      </x:c>
      <x:c r="F21" s="239" t="str">
        <x:v>개인 명의 언론·기고 활동은 이번 조사에서 확인되지 않음.</x:v>
      </x:c>
      <x:c r="G21" s="239" t="str">
        <x:v>학술대회 · 연구발표 · 보수교육 및 논문 활성화(직책 기준)</x:v>
      </x:c>
      <x:c r="H21" s="239" t="str">
        <x:v>제19대 학술이사 선임. 학회는 투고 논문 확대와 우수 연구 발굴을 주요 과제로 설정.</x:v>
      </x:c>
      <x:c r="I21" s="239" t="str">
        <x:v>2026년 3월 제19대 임원 위촉 및 연석회의 참여.</x:v>
      </x:c>
      <x:c r="J21" s="239" t="str">
        <x:v>공식 직책과 학회 공동 추진과제만 확인. 학력·주 소속기관·개인 논문 미확인.</x:v>
      </x:c>
      <x:c r="K21" s="250" t="str">
        <x:v>C</x:v>
      </x:c>
      <x:c r="L21" s="239" t="str">
        <x:v>공동연구 주제, 파일럿 발표, 대학원생 논문발표 및 학술행사 연계를 논의할 실무 담당.</x:v>
      </x:c>
      <x:c r="M21" s="239" t="str">
        <x:v>http://soci.kdtech.or.kr/bbs/content.php?co_id=0103organization
https://www.kdtech.or.kr/files/18872</x:v>
      </x:c>
      <x:c r="N21" s="256" t="str">
        <x:v>2026-07-16</x:v>
      </x:c>
    </x:row>
    <x:row r="22" ht="104" customHeight="1">
      <x:c r="A22" s="253" t="str">
        <x:v>교육이사</x:v>
      </x:c>
      <x:c r="B22" s="254" t="str">
        <x:v>김경임</x:v>
      </x:c>
      <x:c r="C22" s="245" t="str">
        <x:v>대한치과기공학회 제19대 교육이사 · 신구대학교 치기공(학)과 교수 · 가철성기공학회 학술이사</x:v>
      </x:c>
      <x:c r="D22" s="245" t="str">
        <x:v>학위 수여 대학과 세부 학위 이력은 공개 공식 자료에서 확인되지 않음</x:v>
      </x:c>
      <x:c r="E22" s="245" t="str">
        <x:v>신구대학교 치기공(학)과 교수로 교육·학생 진로 연구 수행. 개인 창업 이력은 확인되지 않음.</x:v>
      </x:c>
      <x:c r="F22" s="245" t="str">
        <x:v>2026년 치과기보 학술면에 「치기공(학)과 재학생의 전공만족도, 그릿이 진로준비행동에 미치는 영향」 연구를 소개.</x:v>
      </x:c>
      <x:c r="G22" s="245" t="str">
        <x:v>치기공 교육 · 전공만족도 · 그릿 · 진로준비행동 · 가철성 치과기공</x:v>
      </x:c>
      <x:c r="H22" s="245" t="str">
        <x:v>치기공 전공생 237명을 분석해 전공만족도와 그릿이 진로준비행동에 유의한 영향을 주며, 모형이 약 61%를 설명한다고 제시.</x:v>
      </x:c>
      <x:c r="I22" s="245" t="str">
        <x:v>2026년 학회 교육이사 위촉. 최근 연구에서 학생 진로 역량 강화를 위한 통합 교육프로그램과 체계적 상담 지원의 필요성을 제안.</x:v>
      </x:c>
      <x:c r="J22" s="245" t="str">
        <x:v>현재 대학 소속·연구 주제·학회 직책은 공식 치과기보에서 확인. 세부 학력·이전 근무 이력은 미확인.</x:v>
      </x:c>
      <x:c r="K22" s="254" t="str">
        <x:v>A</x:v>
      </x:c>
      <x:c r="L22" s="245" t="str">
        <x:v>신구대학교 협력 제안과 가장 직접적으로 연결되는 임원. 학생 판단·교육 데이터·실습 체크리스트·진로 및 교육성과 연구의 실무 자문 후보.</x:v>
      </x:c>
      <x:c r="M22" s="245" t="str">
        <x:v>http://soci.kdtech.or.kr/bbs/content.php?co_id=0103organization
https://www.kdtech.or.kr/files/18872
https://www.kdtech.or.kr/files/18874</x:v>
      </x:c>
      <x:c r="N22" s="258" t="str">
        <x:v>2026-07-16</x:v>
      </x:c>
    </x:row>
    <x:row r="24" ht="26" customHeight="1">
      <x:c r="A24" s="260" t="str">
        <x:v>조사 해석 및 후속 확인 원칙</x:v>
      </x:c>
      <x:c r="B24" s="260"/>
      <x:c r="C24" s="260"/>
      <x:c r="D24" s="260"/>
      <x:c r="E24" s="260"/>
      <x:c r="F24" s="260"/>
      <x:c r="G24" s="260"/>
      <x:c r="H24" s="260"/>
      <x:c r="I24" s="260"/>
      <x:c r="J24" s="260"/>
      <x:c r="K24" s="260"/>
      <x:c r="L24" s="260"/>
      <x:c r="M24" s="260"/>
      <x:c r="N24" s="260"/>
    </x:row>
    <x:row r="25" ht="42" customHeight="1">
      <x:c r="A25" s="270" t="str">
        <x:v>개인 성과 구분</x:v>
      </x:c>
      <x:c r="B25" s="281" t="str">
        <x:v>임원단 공동 회의·학회지 등재 유지 사업은 학회 공동 성과로 기록했으며, 특정 개인 단독 성과로 과도하게 귀속하지 않음.</x:v>
      </x:c>
      <x:c r="C25" s="282"/>
      <x:c r="D25" s="282"/>
      <x:c r="E25" s="282"/>
      <x:c r="F25" s="282"/>
      <x:c r="G25" s="282"/>
      <x:c r="H25" s="282"/>
      <x:c r="I25" s="282"/>
      <x:c r="J25" s="282"/>
      <x:c r="K25" s="282"/>
      <x:c r="L25" s="282"/>
      <x:c r="M25" s="282"/>
      <x:c r="N25" s="283"/>
    </x:row>
    <x:row r="26" ht="42" customHeight="1">
      <x:c r="A26" s="271" t="str">
        <x:v>동명이인 처리</x:v>
      </x:c>
      <x:c r="B26" s="281" t="str">
        <x:v>대학·연구자·기공소 대표가 동일 이름으로 검색되더라도 학회 임원 본인임을 확인할 공식 연결 정보가 없으면 소속·학력·논문을 기재하지 않음.</x:v>
      </x:c>
      <x:c r="C26" s="282"/>
      <x:c r="D26" s="282"/>
      <x:c r="E26" s="282"/>
      <x:c r="F26" s="282"/>
      <x:c r="G26" s="282"/>
      <x:c r="H26" s="282"/>
      <x:c r="I26" s="282"/>
      <x:c r="J26" s="282"/>
      <x:c r="K26" s="282"/>
      <x:c r="L26" s="282"/>
      <x:c r="M26" s="282"/>
      <x:c r="N26" s="283"/>
    </x:row>
    <x:row r="27" ht="42" customHeight="1">
      <x:c r="A27" s="271" t="str">
        <x:v>우선 추가 조사</x:v>
      </x:c>
      <x:c r="B27" s="281" t="str">
        <x:v>이정수·이주희·김재홍·김동연·유재훈·김장현은 학회 사무국에 현 소속 또는 약력 자료를 요청하면 네트워킹 가치 판단이 크게 개선됨.</x:v>
      </x:c>
      <x:c r="C27" s="282"/>
      <x:c r="D27" s="282"/>
      <x:c r="E27" s="282"/>
      <x:c r="F27" s="282"/>
      <x:c r="G27" s="282"/>
      <x:c r="H27" s="282"/>
      <x:c r="I27" s="282"/>
      <x:c r="J27" s="282"/>
      <x:c r="K27" s="282"/>
      <x:c r="L27" s="282"/>
      <x:c r="M27" s="282"/>
      <x:c r="N27" s="283"/>
    </x:row>
    <x:row r="28" ht="42" customHeight="1">
      <x:c r="A28" s="272" t="str">
        <x:v>신구대 직접 접점</x:v>
      </x:c>
      <x:c r="B28" s="281" t="str">
        <x:v>김경임 교육이사는 신구대학교 치기공(학)과 교수로 공식 확인되어 교육·실습 데이터·학생 연구 협력의 가장 직접적인 연결점으로 분류함.</x:v>
      </x:c>
      <x:c r="C28" s="282"/>
      <x:c r="D28" s="282"/>
      <x:c r="E28" s="282"/>
      <x:c r="F28" s="282"/>
      <x:c r="G28" s="282"/>
      <x:c r="H28" s="282"/>
      <x:c r="I28" s="282"/>
      <x:c r="J28" s="282"/>
      <x:c r="K28" s="282"/>
      <x:c r="L28" s="282"/>
      <x:c r="M28" s="282"/>
      <x:c r="N28" s="283"/>
    </x:row>
  </x:sheetData>
  <x:mergeCells>
    <x:mergeCell ref="A1:N1"/>
    <x:mergeCell ref="A2:N2"/>
    <x:mergeCell ref="I4:N4"/>
    <x:mergeCell ref="A6:N6"/>
    <x:mergeCell ref="A24:N24"/>
    <x:mergeCell ref="B25:N25"/>
    <x:mergeCell ref="B26:N26"/>
    <x:mergeCell ref="B27:N27"/>
    <x:mergeCell ref="B28:N28"/>
  </x:mergeCells>
  <x:conditionalFormatting sqref="K8:K22">
    <x:cfRule type="expression" dxfId="4" priority="1">
      <x:formula>K8="A"</x:formula>
    </x:cfRule>
    <x:cfRule type="expression" dxfId="5" priority="2">
      <x:formula>K8="B"</x:formula>
    </x:cfRule>
    <x:cfRule type="expression" dxfId="6" priority="3">
      <x:formula>K8="C"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d0c4fb59e1475f"/>
  </x:tableParts>
</x:worksheet>
</file>
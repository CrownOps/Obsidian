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 및 전략" sheetId="1" state="visible" r:id="rId3"/>
    <sheet name="핵심 인물" sheetId="2" state="visible" r:id="rId4"/>
    <sheet name="부스 전체 리스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<sst xmlns="http://schemas.openxmlformats.org/spreadsheetml/2006/main" count="931" uniqueCount="414">
  <si>
    <r>
      <rPr>
        <b val="true"/>
        <sz val="18"/>
        <color rgb="FFFFFFFF"/>
        <rFont val="Arial"/>
        <family val="0"/>
        <charset val="1"/>
      </rPr>
      <t xml:space="preserve">KDTEX 2026 — CrownOps </t>
    </r>
    <r>
      <rPr>
        <b val="true"/>
        <sz val="18"/>
        <color rgb="FFFFFFFF"/>
        <rFont val="Noto Sans CJK SC"/>
        <family val="2"/>
      </rPr>
      <t xml:space="preserve">네트워킹 전략 </t>
    </r>
    <r>
      <rPr>
        <b val="true"/>
        <sz val="18"/>
        <color rgb="FFFFFFFF"/>
        <rFont val="Arial"/>
        <family val="0"/>
        <charset val="1"/>
      </rPr>
      <t xml:space="preserve">&amp; </t>
    </r>
    <r>
      <rPr>
        <b val="true"/>
        <sz val="18"/>
        <color rgb="FFFFFFFF"/>
        <rFont val="Noto Sans CJK SC"/>
        <family val="2"/>
      </rPr>
      <t xml:space="preserve">부스 리서치</t>
    </r>
  </si>
  <si>
    <r>
      <rPr>
        <i val="true"/>
        <sz val="10"/>
        <color rgb="FF595959"/>
        <rFont val="Arial"/>
        <family val="0"/>
        <charset val="1"/>
      </rPr>
      <t xml:space="preserve">2026.07.17(</t>
    </r>
    <r>
      <rPr>
        <i val="true"/>
        <sz val="10"/>
        <color rgb="FF595959"/>
        <rFont val="Noto Sans CJK SC"/>
        <family val="2"/>
      </rPr>
      <t xml:space="preserve">금</t>
    </r>
    <r>
      <rPr>
        <i val="true"/>
        <sz val="10"/>
        <color rgb="FF595959"/>
        <rFont val="Arial"/>
        <family val="0"/>
        <charset val="1"/>
      </rPr>
      <t xml:space="preserve">)~19(</t>
    </r>
    <r>
      <rPr>
        <i val="true"/>
        <sz val="10"/>
        <color rgb="FF595959"/>
        <rFont val="Noto Sans CJK SC"/>
        <family val="2"/>
      </rPr>
      <t xml:space="preserve">일</t>
    </r>
    <r>
      <rPr>
        <i val="true"/>
        <sz val="10"/>
        <color rgb="FF595959"/>
        <rFont val="Arial"/>
        <family val="0"/>
        <charset val="1"/>
      </rPr>
      <t xml:space="preserve">) · </t>
    </r>
    <r>
      <rPr>
        <i val="true"/>
        <sz val="10"/>
        <color rgb="FF595959"/>
        <rFont val="Noto Sans CJK SC"/>
        <family val="2"/>
      </rPr>
      <t xml:space="preserve">일산 킨텍스 제</t>
    </r>
    <r>
      <rPr>
        <i val="true"/>
        <sz val="10"/>
        <color rgb="FF595959"/>
        <rFont val="Arial"/>
        <family val="0"/>
        <charset val="1"/>
      </rPr>
      <t xml:space="preserve">2</t>
    </r>
    <r>
      <rPr>
        <i val="true"/>
        <sz val="10"/>
        <color rgb="FF595959"/>
        <rFont val="Noto Sans CJK SC"/>
        <family val="2"/>
      </rPr>
      <t xml:space="preserve">전시장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치기공기자재전시 </t>
    </r>
    <r>
      <rPr>
        <i val="true"/>
        <sz val="10"/>
        <color rgb="FF595959"/>
        <rFont val="Arial"/>
        <family val="0"/>
        <charset val="1"/>
      </rPr>
      <t xml:space="preserve">7.18~19) · </t>
    </r>
    <r>
      <rPr>
        <i val="true"/>
        <sz val="10"/>
        <color rgb="FF595959"/>
        <rFont val="Noto Sans CJK SC"/>
        <family val="2"/>
      </rPr>
      <t xml:space="preserve">주최</t>
    </r>
    <r>
      <rPr>
        <i val="true"/>
        <sz val="10"/>
        <color rgb="FF595959"/>
        <rFont val="Arial"/>
        <family val="0"/>
        <charset val="1"/>
      </rPr>
      <t xml:space="preserve">: </t>
    </r>
    <r>
      <rPr>
        <i val="true"/>
        <sz val="10"/>
        <color rgb="FF595959"/>
        <rFont val="Noto Sans CJK SC"/>
        <family val="2"/>
      </rPr>
      <t xml:space="preserve">대한치과기공사협회</t>
    </r>
    <r>
      <rPr>
        <i val="true"/>
        <sz val="10"/>
        <color rgb="FF595959"/>
        <rFont val="Arial"/>
        <family val="0"/>
        <charset val="1"/>
      </rPr>
      <t xml:space="preserve">(</t>
    </r>
    <r>
      <rPr>
        <i val="true"/>
        <sz val="10"/>
        <color rgb="FF595959"/>
        <rFont val="Noto Sans CJK SC"/>
        <family val="2"/>
      </rPr>
      <t xml:space="preserve">회장 김정민</t>
    </r>
    <r>
      <rPr>
        <i val="true"/>
        <sz val="10"/>
        <color rgb="FF595959"/>
        <rFont val="Arial"/>
        <family val="0"/>
        <charset val="1"/>
      </rPr>
      <t xml:space="preserve">)</t>
    </r>
  </si>
  <si>
    <r>
      <rPr>
        <b val="true"/>
        <sz val="12"/>
        <color rgb="FF1F3864"/>
        <rFont val="Arial"/>
        <family val="0"/>
        <charset val="1"/>
      </rPr>
      <t xml:space="preserve">1. </t>
    </r>
    <r>
      <rPr>
        <b val="true"/>
        <sz val="12"/>
        <color rgb="FF1F3864"/>
        <rFont val="Noto Sans CJK SC"/>
        <family val="2"/>
      </rPr>
      <t xml:space="preserve">이번 전시회에서 </t>
    </r>
    <r>
      <rPr>
        <b val="true"/>
        <sz val="12"/>
        <color rgb="FF1F3864"/>
        <rFont val="Arial"/>
        <family val="0"/>
        <charset val="1"/>
      </rPr>
      <t xml:space="preserve">CrownOps</t>
    </r>
    <r>
      <rPr>
        <b val="true"/>
        <sz val="12"/>
        <color rgb="FF1F3864"/>
        <rFont val="Noto Sans CJK SC"/>
        <family val="2"/>
      </rPr>
      <t xml:space="preserve">가 확보해야 할 것</t>
    </r>
  </si>
  <si>
    <t xml:space="preserve">• 부스를 많이 도는 것보다 ① 파일·CAD/CAM 연동 파트너 ② 검증 규칙 데이터 공급자 ③ 파일럿 기공소·업계 권위자를 확보하는 데 집중</t>
  </si>
  <si>
    <t xml:space="preserve">• 최우선 동선(S급): 3DBioCAD(I-2) → hyperDENT/팔로우미테크놀러지코리아(K-2) → GeoMedi/지오메디(A-2) → MEDIDEN/메디덴(B-4) → XT CERA/엑스티세라(E-3) → HASS/하스(L-2)</t>
  </si>
  <si>
    <t xml:space="preserve">• 현장 소개 멘트: "저희는 기존 CAD/CAM을 대체하는 팀이 아닙니다. 의뢰서·STL·재료·스캔바디 조건이 서로 맞는지 확인해 잘못 제작하기 전에 오류를 잡는 CrownOps를 만들고 있습니다."</t>
  </si>
  <si>
    <t xml:space="preserve">• 핵심 질문 하나: "귀사 제품을 쓰는 기공소에서 사용자가 가장 자주 잘못 설정하는 항목이 무엇인가요? 그 실수를 제품 내부에서 막고 있나요, 아니면 교육/작업자 확인에 의존하나요?"</t>
  </si>
  <si>
    <r>
      <rPr>
        <b val="true"/>
        <sz val="12"/>
        <color rgb="FF1F3864"/>
        <rFont val="Arial"/>
        <family val="0"/>
        <charset val="1"/>
      </rPr>
      <t xml:space="preserve">2. </t>
    </r>
    <r>
      <rPr>
        <b val="true"/>
        <sz val="12"/>
        <color rgb="FF1F3864"/>
        <rFont val="Noto Sans CJK SC"/>
        <family val="2"/>
      </rPr>
      <t xml:space="preserve">성과 </t>
    </r>
    <r>
      <rPr>
        <b val="true"/>
        <sz val="12"/>
        <color rgb="FF1F3864"/>
        <rFont val="Arial"/>
        <family val="0"/>
        <charset val="1"/>
      </rPr>
      <t xml:space="preserve">KPI</t>
    </r>
  </si>
  <si>
    <t xml:space="preserve">항목</t>
  </si>
  <si>
    <t xml:space="preserve">목표</t>
  </si>
  <si>
    <t xml:space="preserve">실사용자 인터뷰(기공소장·CAD/CAM 담당자)</t>
  </si>
  <si>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명 이상</t>
    </r>
  </si>
  <si>
    <t xml:space="preserve">적합한 기공소 연락처 확보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</si>
  <si>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곳 이상</t>
    </r>
  </si>
  <si>
    <t xml:space="preserve">파일럿 후보 기공소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</si>
  <si>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곳</t>
    </r>
  </si>
  <si>
    <t xml:space="preserve">기술·데이터 협력 후보(S/A급 업체)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</si>
  <si>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개사</t>
    </r>
  </si>
  <si>
    <t xml:space="preserve">교수·협회·업계 전문가 연결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</si>
  <si>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 이상</t>
    </r>
  </si>
  <si>
    <t xml:space="preserve">행사 후 후속 미팅 확정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</si>
  <si>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건 이상</t>
    </r>
  </si>
  <si>
    <t xml:space="preserve">명함 수</t>
  </si>
  <si>
    <r>
      <rPr>
        <sz val="10"/>
        <rFont val="Arial"/>
        <family val="0"/>
        <charset val="1"/>
      </rPr>
      <t xml:space="preserve">KPI</t>
    </r>
    <r>
      <rPr>
        <sz val="10"/>
        <rFont val="Noto Sans CJK SC"/>
        <family val="2"/>
      </rPr>
      <t xml:space="preserve">로 잡지 않음 — 질 우선</t>
    </r>
  </si>
  <si>
    <r>
      <rPr>
        <b val="true"/>
        <sz val="12"/>
        <color rgb="FF1F3864"/>
        <rFont val="Arial"/>
        <family val="0"/>
        <charset val="1"/>
      </rPr>
      <t xml:space="preserve">3. </t>
    </r>
    <r>
      <rPr>
        <b val="true"/>
        <sz val="12"/>
        <color rgb="FF1F3864"/>
        <rFont val="Noto Sans CJK SC"/>
        <family val="2"/>
      </rPr>
      <t xml:space="preserve">부스 우선순위 정의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다음 시트 </t>
    </r>
    <r>
      <rPr>
        <b val="true"/>
        <sz val="12"/>
        <color rgb="FF1F3864"/>
        <rFont val="Arial"/>
        <family val="0"/>
        <charset val="1"/>
      </rPr>
      <t xml:space="preserve">'</t>
    </r>
    <r>
      <rPr>
        <b val="true"/>
        <sz val="12"/>
        <color rgb="FF1F3864"/>
        <rFont val="Noto Sans CJK SC"/>
        <family val="2"/>
      </rPr>
      <t xml:space="preserve">부스 전체 리스트</t>
    </r>
    <r>
      <rPr>
        <b val="true"/>
        <sz val="12"/>
        <color rgb="FF1F3864"/>
        <rFont val="Arial"/>
        <family val="0"/>
        <charset val="1"/>
      </rPr>
      <t xml:space="preserve">'</t>
    </r>
    <r>
      <rPr>
        <b val="true"/>
        <sz val="12"/>
        <color rgb="FF1F3864"/>
        <rFont val="Noto Sans CJK SC"/>
        <family val="2"/>
      </rPr>
      <t xml:space="preserve">에서 사용</t>
    </r>
    <r>
      <rPr>
        <b val="true"/>
        <sz val="12"/>
        <color rgb="FF1F3864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</si>
  <si>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S</t>
    </r>
    <r>
      <rPr>
        <b val="true"/>
        <sz val="10"/>
        <color rgb="FFFFFFFF"/>
        <rFont val="Noto Sans CJK SC"/>
        <family val="2"/>
      </rPr>
      <t xml:space="preserve">급</t>
    </r>
  </si>
  <si>
    <t xml:space="preserve">장기 해자(검증 규칙 데이터)의 핵심 데이터 공급원. 반드시 심층 대화 — 명함 교환이 아니라 데이터 연동 가능성을 확인해야 함.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</si>
  <si>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급</t>
    </r>
  </si>
  <si>
    <t xml:space="preserve">주요 방문 대상. 시장 리더급 대기업이거나 전략적으로 중요한 파트너/경쟁 관계 업체.</t>
  </si>
  <si>
    <r>
      <rPr>
        <b val="true"/>
        <sz val="10"/>
        <color rgb="FFFFFFFF"/>
        <rFont val="Arial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급</t>
    </r>
  </si>
  <si>
    <t xml:space="preserve">일반 전시업체. 시간이 남으면 방문, 카테고리 확인 위주.</t>
  </si>
  <si>
    <r>
      <rPr>
        <b val="true"/>
        <sz val="12"/>
        <color rgb="FF1F3864"/>
        <rFont val="Arial"/>
        <family val="0"/>
        <charset val="1"/>
      </rPr>
      <t xml:space="preserve">4. </t>
    </r>
    <r>
      <rPr>
        <b val="true"/>
        <sz val="12"/>
        <color rgb="FF1F3864"/>
        <rFont val="Noto Sans CJK SC"/>
        <family val="2"/>
      </rPr>
      <t xml:space="preserve">현장 동선 </t>
    </r>
    <r>
      <rPr>
        <b val="true"/>
        <sz val="12"/>
        <color rgb="FF1F3864"/>
        <rFont val="Arial"/>
        <family val="0"/>
        <charset val="1"/>
      </rPr>
      <t xml:space="preserve">4</t>
    </r>
    <r>
      <rPr>
        <b val="true"/>
        <sz val="12"/>
        <color rgb="FF1F3864"/>
        <rFont val="Noto Sans CJK SC"/>
        <family val="2"/>
      </rPr>
      <t xml:space="preserve">단계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</si>
  <si>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차 — 제품 앞뒤 시스템 파악</t>
    </r>
  </si>
  <si>
    <r>
      <rPr>
        <sz val="10"/>
        <rFont val="Arial"/>
        <family val="0"/>
        <charset val="1"/>
      </rPr>
      <t xml:space="preserve">   3DBioCAD(I-2) → hyperDENT(K-2): CrownOps</t>
    </r>
    <r>
      <rPr>
        <sz val="10"/>
        <rFont val="Noto Sans CJK SC"/>
        <family val="2"/>
      </rPr>
      <t xml:space="preserve">가 장기적으로 어디에 붙을지</t>
    </r>
    <r>
      <rPr>
        <sz val="10"/>
        <rFont val="Arial"/>
        <family val="0"/>
        <charset val="1"/>
      </rPr>
      <t xml:space="preserve">(Scanner/Rx/CAD → CrownOps </t>
    </r>
    <r>
      <rPr>
        <sz val="10"/>
        <rFont val="Noto Sans CJK SC"/>
        <family val="2"/>
      </rPr>
      <t xml:space="preserve">사전검증 → </t>
    </r>
    <r>
      <rPr>
        <sz val="10"/>
        <rFont val="Arial"/>
        <family val="0"/>
        <charset val="1"/>
      </rPr>
      <t xml:space="preserve">CAM/Milling) </t>
    </r>
    <r>
      <rPr>
        <sz val="10"/>
        <rFont val="Noto Sans CJK SC"/>
        <family val="2"/>
      </rPr>
      <t xml:space="preserve">확인</t>
    </r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</si>
  <si>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차 — 검증 규칙 데이터 확보</t>
    </r>
  </si>
  <si>
    <r>
      <rPr>
        <sz val="10"/>
        <rFont val="Arial"/>
        <family val="0"/>
        <charset val="1"/>
      </rPr>
      <t xml:space="preserve">   GeoMedi(A-2) → MEDIDEN(B-4) → XT CERA(E-3) → HASS(L-2): </t>
    </r>
    <r>
      <rPr>
        <sz val="10"/>
        <rFont val="Noto Sans CJK SC"/>
        <family val="2"/>
      </rPr>
      <t xml:space="preserve">어떤 조합이 가능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불가능한지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그 규칙이 현재 어디에 저장되어 있는지 파악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</si>
  <si>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차 — 시장과 유통 확인</t>
    </r>
  </si>
  <si>
    <r>
      <rPr>
        <sz val="10"/>
        <rFont val="Arial"/>
        <family val="0"/>
        <charset val="1"/>
      </rPr>
      <t xml:space="preserve">   ARUM(D-1) → 3-Point Dental(H-2) → </t>
    </r>
    <r>
      <rPr>
        <sz val="10"/>
        <rFont val="Noto Sans CJK SC"/>
        <family val="2"/>
      </rPr>
      <t xml:space="preserve">그 외 장비사</t>
    </r>
    <r>
      <rPr>
        <sz val="10"/>
        <rFont val="Arial"/>
        <family val="0"/>
        <charset val="1"/>
      </rPr>
      <t xml:space="preserve">: </t>
    </r>
    <r>
      <rPr>
        <sz val="10"/>
        <rFont val="Noto Sans CJK SC"/>
        <family val="2"/>
      </rPr>
      <t xml:space="preserve">기공소가 가장 많이 문의하는 오류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반복적 교육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지원 이슈</t>
    </r>
    <r>
      <rPr>
        <sz val="10"/>
        <rFont val="Arial"/>
        <family val="0"/>
        <charset val="1"/>
      </rPr>
      <t xml:space="preserve">, SW </t>
    </r>
    <r>
      <rPr>
        <sz val="10"/>
        <rFont val="Noto Sans CJK SC"/>
        <family val="2"/>
      </rPr>
      <t xml:space="preserve">판매 방식 확인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</si>
  <si>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차 — 사람 확보</t>
    </r>
  </si>
  <si>
    <t xml:space="preserve">   둘째 날은 새 부스보다 전날 만난 사람 재방문 → 깊은 인터뷰 → 파일럿 요청 → 후속 미팅 확정에 집중</t>
  </si>
  <si>
    <r>
      <rPr>
        <b val="true"/>
        <sz val="12"/>
        <color rgb="FF1F3864"/>
        <rFont val="Arial"/>
        <family val="0"/>
        <charset val="1"/>
      </rPr>
      <t xml:space="preserve">5. </t>
    </r>
    <r>
      <rPr>
        <b val="true"/>
        <sz val="12"/>
        <color rgb="FF1F3864"/>
        <rFont val="Noto Sans CJK SC"/>
        <family val="2"/>
      </rPr>
      <t xml:space="preserve">현장에서 기록할 항목 </t>
    </r>
    <r>
      <rPr>
        <b val="true"/>
        <sz val="12"/>
        <color rgb="FF1F3864"/>
        <rFont val="Arial"/>
        <family val="0"/>
        <charset val="1"/>
      </rPr>
      <t xml:space="preserve">(</t>
    </r>
    <r>
      <rPr>
        <b val="true"/>
        <sz val="12"/>
        <color rgb="FF1F3864"/>
        <rFont val="Noto Sans CJK SC"/>
        <family val="2"/>
      </rPr>
      <t xml:space="preserve">인터뷰</t>
    </r>
    <r>
      <rPr>
        <b val="true"/>
        <sz val="12"/>
        <color rgb="FF1F3864"/>
        <rFont val="Arial"/>
        <family val="0"/>
        <charset val="1"/>
      </rPr>
      <t xml:space="preserve">/</t>
    </r>
    <r>
      <rPr>
        <b val="true"/>
        <sz val="12"/>
        <color rgb="FF1F3864"/>
        <rFont val="Noto Sans CJK SC"/>
        <family val="2"/>
      </rPr>
      <t xml:space="preserve">미팅마다</t>
    </r>
    <r>
      <rPr>
        <b val="true"/>
        <sz val="12"/>
        <color rgb="FF1F3864"/>
        <rFont val="Arial"/>
        <family val="0"/>
        <charset val="1"/>
      </rPr>
      <t xml:space="preserve">)</t>
    </r>
  </si>
  <si>
    <t xml:space="preserve">회사/이름/직책/유형 · 현재 워크플로우(Scanner/CAD/CAM/주요재료/하루 케이스 수) · 최근 오류 사례/발견 시점/검수 담당자/방지 방법/기록 여부 · CrownOps 연결(필요 데이터/API 연동 가능성/PoC 가능성/다음 액션/후속 연락 날짜)</t>
  </si>
  <si>
    <t xml:space="preserve">※ 이 시트는 07/16 조사 기준입니다. 대표자/직원수 등 기업정보는 잡코리아·사람인·캐치(Catch)·자체 홈페이지 등 공개된 채용/기업정보 페이지를 근거로 하며, 확인되지 않은 항목은 '확인 필요'로 표기했습니다. 부스번호는 KDTEX 2026 공식 홈페이지(kdtex.org, 2026.07.16 조회) 기준이며 현장 배치도로 최종 재확인을 권장합니다.</t>
  </si>
  <si>
    <t xml:space="preserve">반드시 만나야 할 사람</t>
  </si>
  <si>
    <t xml:space="preserve">구분</t>
  </si>
  <si>
    <t xml:space="preserve">이름/대상</t>
  </si>
  <si>
    <t xml:space="preserve">소속·직함</t>
  </si>
  <si>
    <t xml:space="preserve">접근 방법</t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</si>
  <si>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급 </t>
    </r>
    <r>
      <rPr>
        <sz val="10"/>
        <rFont val="Arial"/>
        <family val="0"/>
        <charset val="1"/>
      </rPr>
      <t xml:space="preserve">1</t>
    </r>
  </si>
  <si>
    <t xml:space="preserve">구재윤</t>
  </si>
  <si>
    <t xml:space="preserve">「AI로 자동화하는 치과기공소」 KDTEX 2026 공식 프로그램 라이브 강연자 — CrownOps 비전과 가장 직접적으로 겹치는 세션</t>
  </si>
  <si>
    <t xml:space="preserve">강연 직후 접근: "저희는 CAD 디자인 자체를 자동화하기보다, 의뢰서·파일·재료 조건이 맞는지 제작 전에 검증하는 CrownOps를 만들고 있습니다. 자동화된 기공소에서도 결국 사람이 마지막으로 확인해야 하는 지점이 어디인지 10분만 조언을 구하고 싶습니다."</t>
  </si>
  <si>
    <t xml:space="preserve">명함 교환이 아니라 15~30분 후속 인터뷰 일정 잡기</t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</si>
  <si>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급 </t>
    </r>
    <r>
      <rPr>
        <sz val="10"/>
        <rFont val="Arial"/>
        <family val="0"/>
        <charset val="1"/>
      </rPr>
      <t xml:space="preserve">2</t>
    </r>
  </si>
  <si>
    <t xml:space="preserve">대한치과기공사협회 관계자(회장 김정민)</t>
  </si>
  <si>
    <r>
      <rPr>
        <sz val="10"/>
        <rFont val="Arial"/>
        <family val="0"/>
        <charset val="1"/>
      </rPr>
      <t xml:space="preserve">KDTEX 2026 </t>
    </r>
    <r>
      <rPr>
        <sz val="10"/>
        <rFont val="Noto Sans CJK SC"/>
        <family val="2"/>
      </rPr>
      <t xml:space="preserve">주최기관 회장 — 시장 접근권과 공신력을 가진 대상</t>
    </r>
  </si>
  <si>
    <t xml:space="preserve">사업 설명을 길게 하지 말 것. 요청은 딱 하나: "저희가 제품을 판매하기 전에 실제 현장에서 검증하고 싶습니다. 직원이 여러 명이고 디지털 공정이 분업화된 기공소 3곳만 소개받을 수 있을까요?"</t>
  </si>
  <si>
    <t xml:space="preserve">파일럿 후보 기공소 1~3곳 소개</t>
  </si>
  <si>
    <r>
      <rPr>
        <sz val="10"/>
        <rFont val="Arial"/>
        <family val="0"/>
        <charset val="1"/>
      </rPr>
      <t xml:space="preserve">S</t>
    </r>
    <r>
      <rPr>
        <sz val="10"/>
        <rFont val="Noto Sans CJK SC"/>
        <family val="2"/>
      </rPr>
      <t xml:space="preserve">급 </t>
    </r>
    <r>
      <rPr>
        <sz val="10"/>
        <rFont val="Arial"/>
        <family val="0"/>
        <charset val="1"/>
      </rPr>
      <t xml:space="preserve">3</t>
    </r>
  </si>
  <si>
    <t xml:space="preserve">실제 기공소 소장 · CAD/CAM 담당자</t>
  </si>
  <si>
    <t xml:space="preserve">조건: 직원 5명 이상 / CAD·CAM 담당 분리 / 케이스 다량 처리 / 여러 치과 거래 / 구강스캔 기반 디지털 비중 높음</t>
  </si>
  <si>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분 인터뷰</t>
    </r>
    <r>
      <rPr>
        <sz val="10"/>
        <rFont val="Arial"/>
        <family val="0"/>
        <charset val="1"/>
      </rPr>
      <t xml:space="preserve">: (1)</t>
    </r>
    <r>
      <rPr>
        <sz val="10"/>
        <rFont val="Noto Sans CJK SC"/>
        <family val="2"/>
      </rPr>
      <t xml:space="preserve">최근 한 달 안에 제작 직전 실수를 발견해 막은 사례 </t>
    </r>
    <r>
      <rPr>
        <sz val="10"/>
        <rFont val="Arial"/>
        <family val="0"/>
        <charset val="1"/>
      </rPr>
      <t xml:space="preserve">(2)CAM </t>
    </r>
    <r>
      <rPr>
        <sz val="10"/>
        <rFont val="Noto Sans CJK SC"/>
        <family val="2"/>
      </rPr>
      <t xml:space="preserve">투입 직전 누가 무엇을 확인하는지 </t>
    </r>
    <r>
      <rPr>
        <sz val="10"/>
        <rFont val="Arial"/>
        <family val="0"/>
        <charset val="1"/>
      </rPr>
      <t xml:space="preserve">(3)</t>
    </r>
    <r>
      <rPr>
        <sz val="10"/>
        <rFont val="Noto Sans CJK SC"/>
        <family val="2"/>
      </rPr>
      <t xml:space="preserve">확인 기준이 문서화되어 있는지 </t>
    </r>
    <r>
      <rPr>
        <sz val="10"/>
        <rFont val="Arial"/>
        <family val="0"/>
        <charset val="1"/>
      </rPr>
      <t xml:space="preserve">(4)</t>
    </r>
    <r>
      <rPr>
        <sz val="10"/>
        <rFont val="Noto Sans CJK SC"/>
        <family val="2"/>
      </rPr>
      <t xml:space="preserve">의뢰서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스캔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재료 정보 불일치가 어디서 발견되는지 </t>
    </r>
    <r>
      <rPr>
        <sz val="10"/>
        <rFont val="Arial"/>
        <family val="0"/>
        <charset val="1"/>
      </rPr>
      <t xml:space="preserve">(5)</t>
    </r>
    <r>
      <rPr>
        <sz val="10"/>
        <rFont val="Noto Sans CJK SC"/>
        <family val="2"/>
      </rPr>
      <t xml:space="preserve">최근 리메이크 원인이 기록으로 남아있는지</t>
    </r>
  </si>
  <si>
    <r>
      <rPr>
        <sz val="10"/>
        <rFont val="Arial"/>
        <family val="0"/>
        <charset val="1"/>
      </rPr>
      <t xml:space="preserve">"CrownOps </t>
    </r>
    <r>
      <rPr>
        <sz val="10"/>
        <rFont val="Noto Sans CJK SC"/>
        <family val="2"/>
      </rPr>
      <t xml:space="preserve">필요하세요</t>
    </r>
    <r>
      <rPr>
        <sz val="10"/>
        <rFont val="Arial"/>
        <family val="0"/>
        <charset val="1"/>
      </rPr>
      <t xml:space="preserve">?"</t>
    </r>
    <r>
      <rPr>
        <sz val="10"/>
        <rFont val="Noto Sans CJK SC"/>
        <family val="2"/>
      </rPr>
      <t xml:space="preserve">보다 훨씬 많은 정보 확보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파일럿 후보 발굴</t>
    </r>
  </si>
  <si>
    <t xml:space="preserve">공통 원칙</t>
  </si>
  <si>
    <r>
      <rPr>
        <i val="true"/>
        <sz val="10"/>
        <rFont val="Arial"/>
        <family val="0"/>
        <charset val="1"/>
      </rPr>
      <t xml:space="preserve">AI</t>
    </r>
    <r>
      <rPr>
        <i val="true"/>
        <sz val="10"/>
        <rFont val="Noto Sans CJK SC"/>
        <family val="2"/>
      </rPr>
      <t xml:space="preserve">부터 말하지 않는다</t>
    </r>
    <r>
      <rPr>
        <i val="true"/>
        <sz val="10"/>
        <rFont val="Arial"/>
        <family val="0"/>
        <charset val="1"/>
      </rPr>
      <t xml:space="preserve">. "</t>
    </r>
    <r>
      <rPr>
        <i val="true"/>
        <sz val="10"/>
        <rFont val="Noto Sans CJK SC"/>
        <family val="2"/>
      </rPr>
      <t xml:space="preserve">제작 전에 무엇을 확인하는가</t>
    </r>
    <r>
      <rPr>
        <i val="true"/>
        <sz val="10"/>
        <rFont val="Arial"/>
        <family val="0"/>
        <charset val="1"/>
      </rPr>
      <t xml:space="preserve">"</t>
    </r>
    <r>
      <rPr>
        <i val="true"/>
        <sz val="10"/>
        <rFont val="Noto Sans CJK SC"/>
        <family val="2"/>
      </rPr>
      <t xml:space="preserve">로 시작해야 상대방의 실제 업무를 들을 수 있다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반박하지 않고 상대가 스스로 한계를 인정하게 되묻는 방식으로 대화한다</t>
    </r>
    <r>
      <rPr>
        <i val="true"/>
        <sz val="10"/>
        <rFont val="Arial"/>
        <family val="0"/>
        <charset val="1"/>
      </rPr>
      <t xml:space="preserve">.</t>
    </r>
  </si>
  <si>
    <r>
      <rPr>
        <b val="true"/>
        <sz val="14"/>
        <color rgb="FFFFFFFF"/>
        <rFont val="Arial"/>
        <family val="0"/>
        <charset val="1"/>
      </rPr>
      <t xml:space="preserve">KDTEX 2026 </t>
    </r>
    <r>
      <rPr>
        <b val="true"/>
        <sz val="14"/>
        <color rgb="FFFFFFFF"/>
        <rFont val="Noto Sans CJK SC"/>
        <family val="2"/>
      </rPr>
      <t xml:space="preserve">전시 참가업체 전체 리스트 </t>
    </r>
    <r>
      <rPr>
        <b val="true"/>
        <sz val="14"/>
        <color rgb="FFFFFFFF"/>
        <rFont val="Arial"/>
        <family val="0"/>
        <charset val="1"/>
      </rPr>
      <t xml:space="preserve">(</t>
    </r>
    <r>
      <rPr>
        <b val="true"/>
        <sz val="14"/>
        <color rgb="FFFFFFFF"/>
        <rFont val="Noto Sans CJK SC"/>
        <family val="2"/>
      </rPr>
      <t xml:space="preserve">부스번호 기준</t>
    </r>
    <r>
      <rPr>
        <b val="true"/>
        <sz val="14"/>
        <color rgb="FFFFFFFF"/>
        <rFont val="Arial"/>
        <family val="0"/>
        <charset val="1"/>
      </rPr>
      <t xml:space="preserve">, kdtex.org </t>
    </r>
    <r>
      <rPr>
        <b val="true"/>
        <sz val="14"/>
        <color rgb="FFFFFFFF"/>
        <rFont val="Noto Sans CJK SC"/>
        <family val="2"/>
      </rPr>
      <t xml:space="preserve">공식 리스트 </t>
    </r>
    <r>
      <rPr>
        <b val="true"/>
        <sz val="14"/>
        <color rgb="FFFFFFFF"/>
        <rFont val="Arial"/>
        <family val="0"/>
        <charset val="1"/>
      </rPr>
      <t xml:space="preserve">07/16 </t>
    </r>
    <r>
      <rPr>
        <b val="true"/>
        <sz val="14"/>
        <color rgb="FFFFFFFF"/>
        <rFont val="Noto Sans CJK SC"/>
        <family val="2"/>
      </rPr>
      <t xml:space="preserve">조회</t>
    </r>
    <r>
      <rPr>
        <b val="true"/>
        <sz val="14"/>
        <color rgb="FFFFFFFF"/>
        <rFont val="Arial"/>
        <family val="0"/>
        <charset val="1"/>
      </rPr>
      <t xml:space="preserve">)</t>
    </r>
  </si>
  <si>
    <r>
      <rPr>
        <b val="true"/>
        <sz val="9"/>
        <color rgb="FF1F3864"/>
        <rFont val="Arial"/>
        <family val="0"/>
        <charset val="1"/>
      </rPr>
      <t xml:space="preserve">S</t>
    </r>
    <r>
      <rPr>
        <b val="true"/>
        <sz val="9"/>
        <color rgb="FF1F3864"/>
        <rFont val="Noto Sans CJK SC"/>
        <family val="2"/>
      </rPr>
      <t xml:space="preserve">급 수</t>
    </r>
  </si>
  <si>
    <r>
      <rPr>
        <b val="true"/>
        <sz val="9"/>
        <color rgb="FF1F3864"/>
        <rFont val="Arial"/>
        <family val="0"/>
        <charset val="1"/>
      </rPr>
      <t xml:space="preserve">A</t>
    </r>
    <r>
      <rPr>
        <b val="true"/>
        <sz val="9"/>
        <color rgb="FF1F3864"/>
        <rFont val="Noto Sans CJK SC"/>
        <family val="2"/>
      </rPr>
      <t xml:space="preserve">급 수</t>
    </r>
  </si>
  <si>
    <r>
      <rPr>
        <b val="true"/>
        <sz val="9"/>
        <color rgb="FF1F3864"/>
        <rFont val="Arial"/>
        <family val="0"/>
        <charset val="1"/>
      </rPr>
      <t xml:space="preserve">B</t>
    </r>
    <r>
      <rPr>
        <b val="true"/>
        <sz val="9"/>
        <color rgb="FF1F3864"/>
        <rFont val="Noto Sans CJK SC"/>
        <family val="2"/>
      </rPr>
      <t xml:space="preserve">급 수</t>
    </r>
  </si>
  <si>
    <t xml:space="preserve">전체 업체 수(중복부스 포함)</t>
  </si>
  <si>
    <t xml:space="preserve">우선순위</t>
  </si>
  <si>
    <t xml:space="preserve">부스</t>
  </si>
  <si>
    <t xml:space="preserve">기업명</t>
  </si>
  <si>
    <t xml:space="preserve">취급분야</t>
  </si>
  <si>
    <t xml:space="preserve">핵심요약 (부스 리서치)</t>
  </si>
  <si>
    <t xml:space="preserve">권장액션</t>
  </si>
  <si>
    <t xml:space="preserve">대표자</t>
  </si>
  <si>
    <t xml:space="preserve">직원수</t>
  </si>
  <si>
    <t xml:space="preserve">기업정보</t>
  </si>
  <si>
    <t xml:space="preserve">출처/비고</t>
  </si>
  <si>
    <t xml:space="preserve">S</t>
  </si>
  <si>
    <t xml:space="preserve">I-2</t>
  </si>
  <si>
    <t xml:space="preserve">㈜쓰리디바이오캐드아시아 (3DBioCAD Asia)</t>
  </si>
  <si>
    <r>
      <rPr>
        <sz val="9.5"/>
        <rFont val="Arial"/>
        <family val="0"/>
        <charset val="1"/>
      </rPr>
      <t xml:space="preserve">CAD/CAM </t>
    </r>
    <r>
      <rPr>
        <sz val="9.5"/>
        <rFont val="Noto Sans CJK SC"/>
        <family val="2"/>
      </rPr>
      <t xml:space="preserve">소프트웨어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장비</t>
    </r>
  </si>
  <si>
    <r>
      <rPr>
        <sz val="9.5"/>
        <rFont val="Arial"/>
        <family val="0"/>
        <charset val="1"/>
      </rPr>
      <t xml:space="preserve">3Shape·TRIOS·Dental System </t>
    </r>
    <r>
      <rPr>
        <sz val="9.5"/>
        <rFont val="Noto Sans CJK SC"/>
        <family val="2"/>
      </rPr>
      <t xml:space="preserve">등 </t>
    </r>
    <r>
      <rPr>
        <sz val="9.5"/>
        <rFont val="Arial"/>
        <family val="0"/>
        <charset val="1"/>
      </rPr>
      <t xml:space="preserve">CAD/CAM </t>
    </r>
    <r>
      <rPr>
        <sz val="9.5"/>
        <rFont val="Noto Sans CJK SC"/>
        <family val="2"/>
      </rPr>
      <t xml:space="preserve">솔루션 총판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케이스</t>
    </r>
    <r>
      <rPr>
        <sz val="9.5"/>
        <rFont val="Arial"/>
        <family val="0"/>
        <charset val="1"/>
      </rPr>
      <t xml:space="preserve">·CAD·</t>
    </r>
    <r>
      <rPr>
        <sz val="9.5"/>
        <rFont val="Noto Sans CJK SC"/>
        <family val="2"/>
      </rPr>
      <t xml:space="preserve">스캔 파일 데이터의 실제 흐름을 쥐고 있는 최우선 방문처</t>
    </r>
    <r>
      <rPr>
        <sz val="9.5"/>
        <rFont val="Arial"/>
        <family val="0"/>
        <charset val="1"/>
      </rPr>
      <t xml:space="preserve">.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</si>
  <si>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케이스 </t>
    </r>
    <r>
      <rPr>
        <sz val="9.5"/>
        <rFont val="Arial"/>
        <family val="0"/>
        <charset val="1"/>
      </rPr>
      <t xml:space="preserve">ID, Rx, STL/PLY </t>
    </r>
    <r>
      <rPr>
        <sz val="9.5"/>
        <rFont val="Noto Sans CJK SC"/>
        <family val="2"/>
      </rPr>
      <t xml:space="preserve">정보를 외부 시스템이 받을 수 있는 구조가 있나요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질문으로 파일 연동 가능성 확인</t>
    </r>
  </si>
  <si>
    <t xml:space="preserve">정희진 · 조규동 (공동대표)</t>
  </si>
  <si>
    <t xml:space="preserve">약 10명</t>
  </si>
  <si>
    <t xml:space="preserve">서울 송파구 중대로132(쌍둥이빌딩) 5층 · 사업자번호 397-88-00203 · 매출 약 61억원</t>
  </si>
  <si>
    <t xml:space="preserve">잡코리아/캐치/3dbiocadasia.com, 2026.07 조회</t>
  </si>
  <si>
    <t xml:space="preserve">K-2</t>
  </si>
  <si>
    <t xml:space="preserve">㈜팔로우미테크놀러지코리아 (FOLLOW-ME!/hyperDENT)</t>
  </si>
  <si>
    <r>
      <rPr>
        <sz val="9.5"/>
        <rFont val="Arial"/>
        <family val="0"/>
        <charset val="1"/>
      </rPr>
      <t xml:space="preserve">CAM/</t>
    </r>
    <r>
      <rPr>
        <sz val="9.5"/>
        <rFont val="Noto Sans CJK SC"/>
        <family val="2"/>
      </rPr>
      <t xml:space="preserve">밀링 소프트웨어</t>
    </r>
  </si>
  <si>
    <t xml:space="preserve">독일 FOLLOW-ME! Technology Group의 한국법인. hyperDENT는 세계 선도 치과 CAM 소프트웨어로 CAM 투입 직전 검증 구조를 갖춤 — CrownOps와 가장 직접적인 연동 후보.</t>
  </si>
  <si>
    <r>
      <rPr>
        <sz val="9.5"/>
        <rFont val="Arial"/>
        <family val="0"/>
        <charset val="1"/>
      </rPr>
      <t xml:space="preserve">"CAM </t>
    </r>
    <r>
      <rPr>
        <sz val="9.5"/>
        <rFont val="Noto Sans CJK SC"/>
        <family val="2"/>
      </rPr>
      <t xml:space="preserve">작업 생성 전에 외부 시스템이 재료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파일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작업 조건을 검증할 수 있나요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</t>
    </r>
  </si>
  <si>
    <t xml:space="preserve">확인 필요(한국법인 대표자 별도)</t>
  </si>
  <si>
    <t xml:space="preserve">확인 필요</t>
  </si>
  <si>
    <t xml:space="preserve">독일 본사 FOLLOW-ME! Technology Systems GmbH · hyperDENT는 15년 이상 업력의 모듈형 CAM 소프트웨어</t>
  </si>
  <si>
    <r>
      <rPr>
        <sz val="9.5"/>
        <rFont val="Arial"/>
        <family val="0"/>
        <charset val="1"/>
      </rPr>
      <t xml:space="preserve">follow-me-tech.com/ZoomInfo, 2026.07 </t>
    </r>
    <r>
      <rPr>
        <sz val="9.5"/>
        <rFont val="Noto Sans CJK SC"/>
        <family val="2"/>
      </rPr>
      <t xml:space="preserve">조회</t>
    </r>
  </si>
  <si>
    <t xml:space="preserve">A-2</t>
  </si>
  <si>
    <t xml:space="preserve">주식회사 지오메디 (GeoMedi)</t>
  </si>
  <si>
    <t xml:space="preserve">임플란트/상부구조물</t>
  </si>
  <si>
    <t xml:space="preserve">맞춤형 치과용 임플란트 상부구조물(어버트먼트) 및 스캔바디 제조·유통. CAD/CAM 기술 기반 디지털 솔루션 보유, 전세계 약 30개국 수출.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</si>
  <si>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스캔바디와 브랜드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플랫폼의 매핑 정보를 구조화된 데이터로 관리하시나요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</t>
    </r>
  </si>
  <si>
    <t xml:space="preserve">김도형 · 정양석 (공동대표)</t>
  </si>
  <si>
    <t xml:space="preserve">약 38명</t>
  </si>
  <si>
    <t xml:space="preserve">경기 의왕시 이미로 40(인덕원IT밸리) · 매출 약 40억원, 영업이익 약 8억원 · GMP/CE/ISO13485 인증</t>
  </si>
  <si>
    <t xml:space="preserve">사람인/캐치/zillinks, 2026.07 조회</t>
  </si>
  <si>
    <t xml:space="preserve">B-4</t>
  </si>
  <si>
    <t xml:space="preserve">주식회사 메디덴 (MEDIDEN)</t>
  </si>
  <si>
    <t xml:space="preserve">스캔바디/보철재료</t>
  </si>
  <si>
    <r>
      <rPr>
        <sz val="9.5"/>
        <rFont val="Arial"/>
        <family val="0"/>
        <charset val="1"/>
      </rPr>
      <t xml:space="preserve">2015</t>
    </r>
    <r>
      <rPr>
        <sz val="9.5"/>
        <rFont val="Noto Sans CJK SC"/>
        <family val="2"/>
      </rPr>
      <t xml:space="preserve">년 설립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아시아 치과의료 토탈솔루션 지향</t>
    </r>
    <r>
      <rPr>
        <sz val="9.5"/>
        <rFont val="Arial"/>
        <family val="0"/>
        <charset val="1"/>
      </rPr>
      <t xml:space="preserve">. 180</t>
    </r>
    <r>
      <rPr>
        <sz val="9.5"/>
        <rFont val="Noto Sans CJK SC"/>
        <family val="2"/>
      </rPr>
      <t xml:space="preserve">종 이상 외산 임플란트 시스템 호환 스캔바디 보유 — 임플란트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어버트먼트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스캔바디 호환성 </t>
    </r>
    <r>
      <rPr>
        <sz val="9.5"/>
        <rFont val="Arial"/>
        <family val="0"/>
        <charset val="1"/>
      </rPr>
      <t xml:space="preserve">DB</t>
    </r>
    <r>
      <rPr>
        <sz val="9.5"/>
        <rFont val="Noto Sans CJK SC"/>
        <family val="2"/>
      </rPr>
      <t xml:space="preserve">의 핵심 데이터 소스</t>
    </r>
    <r>
      <rPr>
        <sz val="9.5"/>
        <rFont val="Arial"/>
        <family val="0"/>
        <charset val="1"/>
      </rPr>
      <t xml:space="preserve">.</t>
    </r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</si>
  <si>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실제 현장에서 가장 자주 발생하는 스캔바디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어버트먼트 오선택은 무엇인가요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</t>
    </r>
  </si>
  <si>
    <t xml:space="preserve">김승일</t>
  </si>
  <si>
    <r>
      <rPr>
        <sz val="9.5"/>
        <rFont val="Arial"/>
        <family val="0"/>
        <charset val="1"/>
      </rPr>
      <t xml:space="preserve">2015.06 </t>
    </r>
    <r>
      <rPr>
        <sz val="9.5"/>
        <rFont val="Noto Sans CJK SC"/>
        <family val="2"/>
      </rPr>
      <t xml:space="preserve">설립 </t>
    </r>
    <r>
      <rPr>
        <sz val="9.5"/>
        <rFont val="Arial"/>
        <family val="0"/>
        <charset val="1"/>
      </rPr>
      <t xml:space="preserve">· 2016 </t>
    </r>
    <r>
      <rPr>
        <sz val="9.5"/>
        <rFont val="Noto Sans CJK SC"/>
        <family val="2"/>
      </rPr>
      <t xml:space="preserve">의료기기 제조업 허가 </t>
    </r>
    <r>
      <rPr>
        <sz val="9.5"/>
        <rFont val="Arial"/>
        <family val="0"/>
        <charset val="1"/>
      </rPr>
      <t xml:space="preserve">· 2017 </t>
    </r>
    <r>
      <rPr>
        <sz val="9.5"/>
        <rFont val="Noto Sans CJK SC"/>
        <family val="2"/>
      </rPr>
      <t xml:space="preserve">법인 전환</t>
    </r>
  </si>
  <si>
    <t xml:space="preserve">잡코리아/덴탈아리랑(SIDEX2025 리뷰), 2026.07 조회</t>
  </si>
  <si>
    <t xml:space="preserve">E-3</t>
  </si>
  <si>
    <t xml:space="preserve">엑스티세라 (XT CERA)</t>
  </si>
  <si>
    <t xml:space="preserve">재료(지르코니아 등)</t>
  </si>
  <si>
    <t xml:space="preserve">지르코니아·글라스세라믹·CAD/CAM 밀링머신 전문. 글로벌 기준 2001년 설립, 25년 업력, 2000명 이상 임직원(그룹 전체), 60개국 이상 판매 — 지르코니아 SKU·쉐이드·두께·소결 조건 데이터 보유 가능성 높음.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</si>
  <si>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제품별 제작 조건을 </t>
    </r>
    <r>
      <rPr>
        <sz val="9.5"/>
        <rFont val="Arial"/>
        <family val="0"/>
        <charset val="1"/>
      </rPr>
      <t xml:space="preserve">CrownOps </t>
    </r>
    <r>
      <rPr>
        <sz val="9.5"/>
        <rFont val="Noto Sans CJK SC"/>
        <family val="2"/>
      </rPr>
      <t xml:space="preserve">검증 규칙으로 활용할 수 있을 정도로 구조화할 수 있나요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</t>
    </r>
  </si>
  <si>
    <t xml:space="preserve">확인 필요(한국 담당자)</t>
  </si>
  <si>
    <t xml:space="preserve">확인 필요(그룹 전체 2,000명 이상)</t>
  </si>
  <si>
    <t xml:space="preserve">글로벌 X-mill 시리즈 밀링머신 10년 연속 판매 1위 · 누적 설치 20,000대 이상</t>
  </si>
  <si>
    <r>
      <rPr>
        <sz val="9.5"/>
        <rFont val="Arial"/>
        <family val="0"/>
        <charset val="1"/>
      </rPr>
      <t xml:space="preserve">LMTmag(XTCERA), 2026.07 </t>
    </r>
    <r>
      <rPr>
        <sz val="9.5"/>
        <rFont val="Noto Sans CJK SC"/>
        <family val="2"/>
      </rPr>
      <t xml:space="preserve">조회 — 한국 법인 정보는 현장 확인 필요</t>
    </r>
  </si>
  <si>
    <t xml:space="preserve">L-2</t>
  </si>
  <si>
    <t xml:space="preserve">㈜하스 (HASS)</t>
  </si>
  <si>
    <t xml:space="preserve">코스닥 상장(종목코드 450330, 2024.07.03 상장). 리튬디실리케이트 수복소재(Amber Block/Ingot 등), 지르코니아 유치관 제조. 재료·밀링 조건 DB 보유 가능성 높은 상장 소재기업.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</si>
  <si>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재료를 잘못 선택하거나 잘못된 방식으로 가공하는 실수를 어떻게 방지하고 있나요</t>
    </r>
    <r>
      <rPr>
        <sz val="9.5"/>
        <rFont val="Arial"/>
        <family val="0"/>
        <charset val="1"/>
      </rPr>
      <t xml:space="preserve">?" </t>
    </r>
    <r>
      <rPr>
        <sz val="9.5"/>
        <rFont val="Noto Sans CJK SC"/>
        <family val="2"/>
      </rPr>
      <t xml:space="preserve">질문</t>
    </r>
  </si>
  <si>
    <t xml:space="preserve">김용수</t>
  </si>
  <si>
    <t xml:space="preserve">확인 필요(코스닥 상장사)</t>
  </si>
  <si>
    <t xml:space="preserve">강원특별자치도 소재 · hassbio.com · 코스닥 상장(의료용품 및 기타 의약 관련제품 제조업)</t>
  </si>
  <si>
    <r>
      <rPr>
        <sz val="9.5"/>
        <rFont val="Arial"/>
        <family val="0"/>
        <charset val="1"/>
      </rPr>
      <t xml:space="preserve">KRX </t>
    </r>
    <r>
      <rPr>
        <sz val="9.5"/>
        <rFont val="Noto Sans CJK SC"/>
        <family val="2"/>
      </rPr>
      <t xml:space="preserve">코스닥 상장법인목록</t>
    </r>
    <r>
      <rPr>
        <sz val="9.5"/>
        <rFont val="Arial"/>
        <family val="0"/>
        <charset val="1"/>
      </rPr>
      <t xml:space="preserve">, 2026.07 </t>
    </r>
    <r>
      <rPr>
        <sz val="9.5"/>
        <rFont val="Noto Sans CJK SC"/>
        <family val="2"/>
      </rPr>
      <t xml:space="preserve">조회</t>
    </r>
  </si>
  <si>
    <t xml:space="preserve">A</t>
  </si>
  <si>
    <t xml:space="preserve">D-1</t>
  </si>
  <si>
    <t xml:space="preserve">㈜아름덴티스트리 (ARUM Dentistry)</t>
  </si>
  <si>
    <t xml:space="preserve">밀링장비/재료</t>
  </si>
  <si>
    <t xml:space="preserve">치과용 CAD/CAM 밀링머신 국내 1위(2010년 국내 최초 5축 밀링머신 개발), 한국타이어앤테크놀로지 그룹 계열사. 80여개국 판매, 해외매출비중 78%. Pre-milled Blank/3D프린터/레진/지르코니아/임플란트까지 자체 개발.</t>
  </si>
  <si>
    <t xml:space="preserve">쓰리포인트덴탈 등 다수 가공업체가 아름 밀링기를 사용 — 제작조건 데이터 표준화 파트너로 우선 검토</t>
  </si>
  <si>
    <t xml:space="preserve">이정현</t>
  </si>
  <si>
    <t xml:space="preserve">확인 필요(대기업 계열)</t>
  </si>
  <si>
    <t xml:space="preserve">대전 유성구 소재 · 전신 두원아이디(2000년 두원산기로 설립) · 2019년 한국타이어그룹 편입</t>
  </si>
  <si>
    <t xml:space="preserve">사람인/나무위키/치과신문, 2026.07 조회</t>
  </si>
  <si>
    <t xml:space="preserve">H-2</t>
  </si>
  <si>
    <t xml:space="preserve">주식회사 쓰리포인트덴탈 (3-Point Dental)</t>
  </si>
  <si>
    <t xml:space="preserve">가공 서비스(외주밀링)</t>
  </si>
  <si>
    <t xml:space="preserve">치과기공소 대상 커스텀 어버트먼트·메탈프레임 외주가공 전문. Star社 CNC 복합선반, Arum Dentistry 5축 MCT 보유. All-on-X 메탈프레임(임플란트 밀드바) 가공 특화.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</si>
  <si>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어떤 조합은 가능하고 어떤 조합은 불가능한지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실제 제작 사고 사례를 통해 </t>
    </r>
    <r>
      <rPr>
        <sz val="9.5"/>
        <rFont val="Arial"/>
        <family val="0"/>
        <charset val="1"/>
      </rPr>
      <t xml:space="preserve">CrownOps </t>
    </r>
    <r>
      <rPr>
        <sz val="9.5"/>
        <rFont val="Noto Sans CJK SC"/>
        <family val="2"/>
      </rPr>
      <t xml:space="preserve">검증 규칙 확보</t>
    </r>
  </si>
  <si>
    <t xml:space="preserve">대전 소재 · info@3pointdental.com</t>
  </si>
  <si>
    <r>
      <rPr>
        <sz val="9.5"/>
        <rFont val="Arial"/>
        <family val="0"/>
        <charset val="1"/>
      </rPr>
      <t xml:space="preserve">3pointdental.com, 2026.07 </t>
    </r>
    <r>
      <rPr>
        <sz val="9.5"/>
        <rFont val="Noto Sans CJK SC"/>
        <family val="2"/>
      </rPr>
      <t xml:space="preserve">조회</t>
    </r>
  </si>
  <si>
    <t xml:space="preserve">C-4</t>
  </si>
  <si>
    <t xml:space="preserve">㈜그래피 (Graphy)</t>
  </si>
  <si>
    <r>
      <rPr>
        <sz val="9.5"/>
        <rFont val="Arial"/>
        <family val="0"/>
        <charset val="1"/>
      </rPr>
      <t xml:space="preserve">3D</t>
    </r>
    <r>
      <rPr>
        <sz val="9.5"/>
        <rFont val="Noto Sans CJK SC"/>
        <family val="2"/>
      </rPr>
      <t xml:space="preserve">프린팅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소재</t>
    </r>
  </si>
  <si>
    <t xml:space="preserve">코스닥 상장(종목코드 318060). 2017년 설립, 3D프린팅 광경화성 소재 개발 전문. 세계 최초 치과교정장치 3D프린팅 소재·고강도 치관용 레진(Tera Harz) 개발, KFDA/CE/FDA 인증.</t>
  </si>
  <si>
    <r>
      <rPr>
        <sz val="9.5"/>
        <rFont val="Arial"/>
        <family val="0"/>
        <charset val="1"/>
      </rPr>
      <t xml:space="preserve">3D</t>
    </r>
    <r>
      <rPr>
        <sz val="9.5"/>
        <rFont val="Noto Sans CJK SC"/>
        <family val="2"/>
      </rPr>
      <t xml:space="preserve">프린팅 소재의 경화조건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정밀도 데이터가 </t>
    </r>
    <r>
      <rPr>
        <sz val="9.5"/>
        <rFont val="Arial"/>
        <family val="0"/>
        <charset val="1"/>
      </rPr>
      <t xml:space="preserve">CrownOps </t>
    </r>
    <r>
      <rPr>
        <sz val="9.5"/>
        <rFont val="Noto Sans CJK SC"/>
        <family val="2"/>
      </rPr>
      <t xml:space="preserve">재료 검증 규칙에 활용 가능한지 확인</t>
    </r>
  </si>
  <si>
    <t xml:space="preserve">심운섭</t>
  </si>
  <si>
    <r>
      <rPr>
        <sz val="9.5"/>
        <rFont val="Arial"/>
        <family val="0"/>
        <charset val="1"/>
      </rPr>
      <t xml:space="preserve">2017.01 </t>
    </r>
    <r>
      <rPr>
        <sz val="9.5"/>
        <rFont val="Noto Sans CJK SC"/>
        <family val="2"/>
      </rPr>
      <t xml:space="preserve">설립 </t>
    </r>
    <r>
      <rPr>
        <sz val="9.5"/>
        <rFont val="Arial"/>
        <family val="0"/>
        <charset val="1"/>
      </rPr>
      <t xml:space="preserve">· </t>
    </r>
    <r>
      <rPr>
        <sz val="9.5"/>
        <rFont val="Noto Sans CJK SC"/>
        <family val="2"/>
      </rPr>
      <t xml:space="preserve">손익분기점</t>
    </r>
    <r>
      <rPr>
        <sz val="9.5"/>
        <rFont val="Arial"/>
        <family val="0"/>
        <charset val="1"/>
      </rPr>
      <t xml:space="preserve">(BEP) </t>
    </r>
    <r>
      <rPr>
        <sz val="9.5"/>
        <rFont val="Noto Sans CJK SC"/>
        <family val="2"/>
      </rPr>
      <t xml:space="preserve">통과 발표</t>
    </r>
    <r>
      <rPr>
        <sz val="9.5"/>
        <rFont val="Arial"/>
        <family val="0"/>
        <charset val="1"/>
      </rPr>
      <t xml:space="preserve">(2026) · </t>
    </r>
    <r>
      <rPr>
        <sz val="9.5"/>
        <rFont val="Noto Sans CJK SC"/>
        <family val="2"/>
      </rPr>
      <t xml:space="preserve">미국 현지 생산기지 구축 중</t>
    </r>
  </si>
  <si>
    <t xml:space="preserve">잡코리아/사람인/THE VC, 2026.07 조회</t>
  </si>
  <si>
    <t xml:space="preserve">E-2</t>
  </si>
  <si>
    <t xml:space="preserve">㈜덴탈맥스 (DENTALMAX / LUXEN)</t>
  </si>
  <si>
    <t xml:space="preserve">충남 천안 소재, 지르코니아 블록(자체 브랜드 'LUXEN') 제조·판매로 국내·일본 시장 점유율 1위. TKL인베스트먼트가 약 400억원 규모로 인수(바이아웃).</t>
  </si>
  <si>
    <t xml:space="preserve">일본 수출 채널 보유 — 향후 CrownOps 해외(일본) 진출 시 참고 파트너로 관계 형성</t>
  </si>
  <si>
    <t xml:space="preserve">류기홍</t>
  </si>
  <si>
    <t xml:space="preserve">충남 천안시 소재 · 국내·일본 지르코니아 시장 점유율 1위 · TKL인베스트먼트 피투자기업</t>
  </si>
  <si>
    <r>
      <rPr>
        <sz val="9.5"/>
        <rFont val="Arial"/>
        <family val="0"/>
        <charset val="1"/>
      </rPr>
      <t xml:space="preserve">THE VC(</t>
    </r>
    <r>
      <rPr>
        <sz val="9.5"/>
        <rFont val="Noto Sans CJK SC"/>
        <family val="2"/>
      </rPr>
      <t xml:space="preserve">덴탈맥스</t>
    </r>
    <r>
      <rPr>
        <sz val="9.5"/>
        <rFont val="Arial"/>
        <family val="0"/>
        <charset val="1"/>
      </rPr>
      <t xml:space="preserve">), 2026.07 </t>
    </r>
    <r>
      <rPr>
        <sz val="9.5"/>
        <rFont val="Noto Sans CJK SC"/>
        <family val="2"/>
      </rPr>
      <t xml:space="preserve">조회</t>
    </r>
  </si>
  <si>
    <t xml:space="preserve">E-1,F-1</t>
  </si>
  <si>
    <t xml:space="preserve">㈜신흥 (Shinhung)</t>
  </si>
  <si>
    <t xml:space="preserve">유통/재료 종합</t>
  </si>
  <si>
    <r>
      <rPr>
        <sz val="9.5"/>
        <rFont val="Arial"/>
        <family val="0"/>
        <charset val="1"/>
      </rPr>
      <t xml:space="preserve">1964</t>
    </r>
    <r>
      <rPr>
        <sz val="9.5"/>
        <rFont val="Noto Sans CJK SC"/>
        <family val="2"/>
      </rPr>
      <t xml:space="preserve">년 설립</t>
    </r>
    <r>
      <rPr>
        <sz val="9.5"/>
        <rFont val="Arial"/>
        <family val="0"/>
        <charset val="1"/>
      </rPr>
      <t xml:space="preserve">, 1991</t>
    </r>
    <r>
      <rPr>
        <sz val="9.5"/>
        <rFont val="Noto Sans CJK SC"/>
        <family val="2"/>
      </rPr>
      <t xml:space="preserve">년 유가증권시장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코스피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상장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종목코드 </t>
    </r>
    <r>
      <rPr>
        <sz val="9.5"/>
        <rFont val="Arial"/>
        <family val="0"/>
        <charset val="1"/>
      </rPr>
      <t xml:space="preserve">004080). </t>
    </r>
    <r>
      <rPr>
        <sz val="9.5"/>
        <rFont val="Noto Sans CJK SC"/>
        <family val="2"/>
      </rPr>
      <t xml:space="preserve">국내 최대 치과 의료기기</t>
    </r>
    <r>
      <rPr>
        <sz val="9.5"/>
        <rFont val="Arial"/>
        <family val="0"/>
        <charset val="1"/>
      </rPr>
      <t xml:space="preserve">·</t>
    </r>
    <r>
      <rPr>
        <sz val="9.5"/>
        <rFont val="Noto Sans CJK SC"/>
        <family val="2"/>
      </rPr>
      <t xml:space="preserve">재료 유통기업</t>
    </r>
    <r>
      <rPr>
        <sz val="9.5"/>
        <rFont val="Arial"/>
        <family val="0"/>
        <charset val="1"/>
      </rPr>
      <t xml:space="preserve">. </t>
    </r>
    <r>
      <rPr>
        <sz val="9.5"/>
        <rFont val="Noto Sans CJK SC"/>
        <family val="2"/>
      </rPr>
      <t xml:space="preserve">치과진료대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치과용합금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임플란트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소모성 재료 등 종합 취급</t>
    </r>
    <r>
      <rPr>
        <sz val="9.5"/>
        <rFont val="Arial"/>
        <family val="0"/>
        <charset val="1"/>
      </rPr>
      <t xml:space="preserve">. KDTEX </t>
    </r>
    <r>
      <rPr>
        <sz val="9.5"/>
        <rFont val="Noto Sans CJK SC"/>
        <family val="2"/>
      </rPr>
      <t xml:space="preserve">최대 규모 부스</t>
    </r>
    <r>
      <rPr>
        <sz val="9.5"/>
        <rFont val="Arial"/>
        <family val="0"/>
        <charset val="1"/>
      </rPr>
      <t xml:space="preserve">(2</t>
    </r>
    <r>
      <rPr>
        <sz val="9.5"/>
        <rFont val="Noto Sans CJK SC"/>
        <family val="2"/>
      </rPr>
      <t xml:space="preserve">개 관</t>
    </r>
    <r>
      <rPr>
        <sz val="9.5"/>
        <rFont val="Arial"/>
        <family val="0"/>
        <charset val="1"/>
      </rPr>
      <t xml:space="preserve">).</t>
    </r>
  </si>
  <si>
    <t xml:space="preserve">제휴보다는 시장 구조·유통망 파악 목적. 향후 대형 유통 파트너십 후보로 관계만 형성</t>
  </si>
  <si>
    <t xml:space="preserve">이용익 (대표이사 회장)</t>
  </si>
  <si>
    <t xml:space="preserve">비공개(코스피 상장 대기업)</t>
  </si>
  <si>
    <t xml:space="preserve">서울 중구 본사 · 코스피 상장 · 10년 후 매출 7,000억 목표 발표</t>
  </si>
  <si>
    <t xml:space="preserve">사람인/비즈니스포스트/FnGuide, 2026.07 조회</t>
  </si>
  <si>
    <t xml:space="preserve">J-2</t>
  </si>
  <si>
    <t xml:space="preserve">덴티움 (Dentium)</t>
  </si>
  <si>
    <t xml:space="preserve">임플란트(대기업)</t>
  </si>
  <si>
    <t xml:space="preserve">국내 임플란트 시장 점유율 2위, 코스피 상장. 중국·러시아 매출비중 약 65%. CBCT·CAD/CAM 통합 임플란트 시스템 자체 개발.</t>
  </si>
  <si>
    <t xml:space="preserve">임플란트 브랜드별 스캔바디 호환성 표준 데이터 참고 대상으로 관계 형성</t>
  </si>
  <si>
    <t xml:space="preserve">서승우 (대표이사) · 정성민 (창업주/대주주)</t>
  </si>
  <si>
    <t xml:space="preserve">확인 필요(코스피 상장 대기업)</t>
  </si>
  <si>
    <t xml:space="preserve">경기 수원시 영통구(덴티움지식산업센터) · 코스피 상장 · 얼라인파트너스 지분 7.17% 확보(2025.04)</t>
  </si>
  <si>
    <t xml:space="preserve">위키백과/사람인, 2026.07 조회</t>
  </si>
  <si>
    <t xml:space="preserve">I-1,J-1</t>
  </si>
  <si>
    <t xml:space="preserve">오스템임플란트 (Osstem Implant)</t>
  </si>
  <si>
    <t xml:space="preserve">국내 1위·세계 판매량 1위(2017-22) 임플란트 기업. 87개국 판매망, 30개 해외법인. 2025년 MBK파트너스·유니슨캐피탈 컨소시엄이 지분 인수 후 상장폐지 진행 중.</t>
  </si>
  <si>
    <t xml:space="preserve">업계 최대 플레이어의 디지털 워크플로우 방향성 파악 목적, 직접 데이터 파트너십보다는 시장 동향 청취</t>
  </si>
  <si>
    <t xml:space="preserve">김해성 (대표이사, 2024년 선임)</t>
  </si>
  <si>
    <t xml:space="preserve">확인 필요(대기업)</t>
  </si>
  <si>
    <t xml:space="preserve">서울 강서구 마곡동 본사 · 최대주주: MBK파트너스·UCK 컨소시엄(SPC 덴티스트리인베스트먼트)</t>
  </si>
  <si>
    <t xml:space="preserve">나무위키/치과의사신문, 2026.07 조회</t>
  </si>
  <si>
    <t xml:space="preserve">C-5</t>
  </si>
  <si>
    <t xml:space="preserve">㈜지씨코리아 (GC Korea)</t>
  </si>
  <si>
    <t xml:space="preserve">일본 GC Corporation의 한국법인. 치과 재료 분야 글로벌 브랜드로 국내 기공소·치과 유통망이 넓음.</t>
  </si>
  <si>
    <t xml:space="preserve">재료 스펙(쉐이드·경화조건 등) 데이터 표준화 참고 자료 확보 가능성 문의</t>
  </si>
  <si>
    <t xml:space="preserve">일본 GC Corporation 한국 지사</t>
  </si>
  <si>
    <t xml:space="preserve">이전 조사(2026.07.10) 기준, 최신 확인 필요</t>
  </si>
  <si>
    <t xml:space="preserve">H-1</t>
  </si>
  <si>
    <t xml:space="preserve">이마고웍스 주식회사 (Imagoworks)</t>
  </si>
  <si>
    <r>
      <rPr>
        <sz val="9.5"/>
        <rFont val="Arial"/>
        <family val="0"/>
        <charset val="1"/>
      </rPr>
      <t xml:space="preserve">AI/</t>
    </r>
    <r>
      <rPr>
        <sz val="9.5"/>
        <rFont val="Noto Sans CJK SC"/>
        <family val="2"/>
      </rPr>
      <t xml:space="preserve">디지털덴티스트리</t>
    </r>
  </si>
  <si>
    <r>
      <rPr>
        <sz val="9.5"/>
        <rFont val="Arial"/>
        <family val="0"/>
        <charset val="1"/>
      </rPr>
      <t xml:space="preserve">KAIST </t>
    </r>
    <r>
      <rPr>
        <sz val="9.5"/>
        <rFont val="Noto Sans CJK SC"/>
        <family val="2"/>
      </rPr>
      <t xml:space="preserve">출신 </t>
    </r>
    <r>
      <rPr>
        <sz val="9.5"/>
        <rFont val="Arial"/>
        <family val="0"/>
        <charset val="1"/>
      </rPr>
      <t xml:space="preserve">2019</t>
    </r>
    <r>
      <rPr>
        <sz val="9.5"/>
        <rFont val="Noto Sans CJK SC"/>
        <family val="2"/>
      </rPr>
      <t xml:space="preserve">년 창업</t>
    </r>
    <r>
      <rPr>
        <sz val="9.5"/>
        <rFont val="Arial"/>
        <family val="0"/>
        <charset val="1"/>
      </rPr>
      <t xml:space="preserve">. AI </t>
    </r>
    <r>
      <rPr>
        <sz val="9.5"/>
        <rFont val="Noto Sans CJK SC"/>
        <family val="2"/>
      </rPr>
      <t xml:space="preserve">기반 디지털 덴티스트리 스타트업</t>
    </r>
    <r>
      <rPr>
        <sz val="9.5"/>
        <rFont val="Arial"/>
        <family val="0"/>
        <charset val="1"/>
      </rPr>
      <t xml:space="preserve">(Dentbird </t>
    </r>
    <r>
      <rPr>
        <sz val="9.5"/>
        <rFont val="Noto Sans CJK SC"/>
        <family val="2"/>
      </rPr>
      <t xml:space="preserve">솔루션</t>
    </r>
    <r>
      <rPr>
        <sz val="9.5"/>
        <rFont val="Arial"/>
        <family val="0"/>
        <charset val="1"/>
      </rPr>
      <t xml:space="preserve">). </t>
    </r>
    <r>
      <rPr>
        <sz val="9.5"/>
        <rFont val="Noto Sans CJK SC"/>
        <family val="2"/>
      </rPr>
      <t xml:space="preserve">일본 씨아이메디컬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연매출 약 </t>
    </r>
    <r>
      <rPr>
        <sz val="9.5"/>
        <rFont val="Arial"/>
        <family val="0"/>
        <charset val="1"/>
      </rPr>
      <t xml:space="preserve">1</t>
    </r>
    <r>
      <rPr>
        <sz val="9.5"/>
        <rFont val="Noto Sans CJK SC"/>
        <family val="2"/>
      </rPr>
      <t xml:space="preserve">조원 유통사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과 파트너십</t>
    </r>
    <r>
      <rPr>
        <sz val="9.5"/>
        <rFont val="Arial"/>
        <family val="0"/>
        <charset val="1"/>
      </rPr>
      <t xml:space="preserve">, </t>
    </r>
    <r>
      <rPr>
        <sz val="9.5"/>
        <rFont val="Noto Sans CJK SC"/>
        <family val="2"/>
      </rPr>
      <t xml:space="preserve">해외 진출 가속 중</t>
    </r>
    <r>
      <rPr>
        <sz val="9.5"/>
        <rFont val="Arial"/>
        <family val="0"/>
        <charset val="1"/>
      </rPr>
      <t xml:space="preserve">.</t>
    </r>
  </si>
  <si>
    <t xml:space="preserve">제작 전 검증(CrownOps)과 AI 자동 설계(이마고웍스)의 경계 지점 — "AI 자동화 이후에도 사람이 마지막으로 확인해야 하는 지점"을 질문해 포지셔닝 차별화 확인</t>
  </si>
  <si>
    <t xml:space="preserve">김영준 (대표이사)</t>
  </si>
  <si>
    <t xml:space="preserve">확인 필요(스타트업)</t>
  </si>
  <si>
    <r>
      <rPr>
        <sz val="9.5"/>
        <rFont val="Arial"/>
        <family val="0"/>
        <charset val="1"/>
      </rPr>
      <t xml:space="preserve">2019</t>
    </r>
    <r>
      <rPr>
        <sz val="9.5"/>
        <rFont val="Noto Sans CJK SC"/>
        <family val="2"/>
      </rPr>
      <t xml:space="preserve">년 </t>
    </r>
    <r>
      <rPr>
        <sz val="9.5"/>
        <rFont val="Arial"/>
        <family val="0"/>
        <charset val="1"/>
      </rPr>
      <t xml:space="preserve">KAIST </t>
    </r>
    <r>
      <rPr>
        <sz val="9.5"/>
        <rFont val="Noto Sans CJK SC"/>
        <family val="2"/>
      </rPr>
      <t xml:space="preserve">연구진 창업 </t>
    </r>
    <r>
      <rPr>
        <sz val="9.5"/>
        <rFont val="Arial"/>
        <family val="0"/>
        <charset val="1"/>
      </rPr>
      <t xml:space="preserve">· </t>
    </r>
    <r>
      <rPr>
        <sz val="9.5"/>
        <rFont val="Noto Sans CJK SC"/>
        <family val="2"/>
      </rPr>
      <t xml:space="preserve">일본 </t>
    </r>
    <r>
      <rPr>
        <sz val="9.5"/>
        <rFont val="Arial"/>
        <family val="0"/>
        <charset val="1"/>
      </rPr>
      <t xml:space="preserve">Ci Medical </t>
    </r>
    <r>
      <rPr>
        <sz val="9.5"/>
        <rFont val="Noto Sans CJK SC"/>
        <family val="2"/>
      </rPr>
      <t xml:space="preserve">파트너십</t>
    </r>
  </si>
  <si>
    <r>
      <rPr>
        <sz val="9.5"/>
        <rFont val="Arial"/>
        <family val="0"/>
        <charset val="1"/>
      </rPr>
      <t xml:space="preserve">THE VC(</t>
    </r>
    <r>
      <rPr>
        <sz val="9.5"/>
        <rFont val="Noto Sans CJK SC"/>
        <family val="2"/>
      </rPr>
      <t xml:space="preserve">이마고웍스</t>
    </r>
    <r>
      <rPr>
        <sz val="9.5"/>
        <rFont val="Arial"/>
        <family val="0"/>
        <charset val="1"/>
      </rPr>
      <t xml:space="preserve">), 2026.07 </t>
    </r>
    <r>
      <rPr>
        <sz val="9.5"/>
        <rFont val="Noto Sans CJK SC"/>
        <family val="2"/>
      </rPr>
      <t xml:space="preserve">조회</t>
    </r>
  </si>
  <si>
    <t xml:space="preserve">D-5</t>
  </si>
  <si>
    <t xml:space="preserve">㈜네오바이오텍 (Neobiotech)</t>
  </si>
  <si>
    <t xml:space="preserve">국내 상위권 임플란트 제조사. 그래피(Graphy)와 2019년 전략적 사업제휴·총판 계약 체결 이력 — 업계 내 협업 사례 존재.</t>
  </si>
  <si>
    <t xml:space="preserve">임플란트 시스템 표준화 데이터 및 협업 사례(그래피 등) 참고</t>
  </si>
  <si>
    <t xml:space="preserve">경기 소재 추정 · 그래피 총판 제휴(2019)</t>
  </si>
  <si>
    <t xml:space="preserve">그래피 연혁(잡코리아), 2026.07 조회</t>
  </si>
  <si>
    <t xml:space="preserve">L-1</t>
  </si>
  <si>
    <t xml:space="preserve">㈜디오에프 (DOF)</t>
  </si>
  <si>
    <r>
      <rPr>
        <sz val="9.5"/>
        <rFont val="Arial"/>
        <family val="0"/>
        <charset val="1"/>
      </rPr>
      <t xml:space="preserve">CAD/CAM </t>
    </r>
    <r>
      <rPr>
        <sz val="9.5"/>
        <rFont val="Noto Sans CJK SC"/>
        <family val="2"/>
      </rPr>
      <t xml:space="preserve">소프트웨어</t>
    </r>
  </si>
  <si>
    <t xml:space="preserve">디오에프연구소 계열, 국내 대표 치과용 3D 스캐너·CAD/CAM 소프트웨어 개발사 중 하나로 알려짐.</t>
  </si>
  <si>
    <t xml:space="preserve">스캐너 데이터 포맷·출력 구조 확인, CrownOps와의 파일 연동 가능성 문의</t>
  </si>
  <si>
    <t xml:space="preserve">D-8</t>
  </si>
  <si>
    <t xml:space="preserve">㈜세신유나이티드 (Sesin United)</t>
  </si>
  <si>
    <t xml:space="preserve">치과 기자재 종합 유통기업(세신정밀 계열로 추정). 다수 치과기공소 거래 네트워크 보유 가능성.</t>
  </si>
  <si>
    <t xml:space="preserve">거래 기공소 네트워크 소개 가능성 및 파일럿 후보 소개 요청</t>
  </si>
  <si>
    <t xml:space="preserve">A-4</t>
  </si>
  <si>
    <t xml:space="preserve">덴티큐브 (DentiCube)</t>
  </si>
  <si>
    <t xml:space="preserve">중기부 TIPS 선정 스타트업. 의뢰서 OCR 디지털화 솔루션 — CrownOps의 전(前)단계 기능에 해당하여 협력 또는 기능 확장 논의가 가능한 핵심 대상.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</si>
  <si>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의뢰서 디지털화 이후 검증 단계를 협력하거나 </t>
    </r>
    <r>
      <rPr>
        <sz val="9.5"/>
        <rFont val="Arial"/>
        <family val="0"/>
        <charset val="1"/>
      </rPr>
      <t xml:space="preserve">CrownOps</t>
    </r>
    <r>
      <rPr>
        <sz val="9.5"/>
        <rFont val="Noto Sans CJK SC"/>
        <family val="2"/>
      </rPr>
      <t xml:space="preserve">에 데이터를 연동할 수 있는지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직접 제안</t>
    </r>
  </si>
  <si>
    <t xml:space="preserve">중소벤처기업부 TIPS 프로그램 선정 이력</t>
  </si>
  <si>
    <t xml:space="preserve">B</t>
  </si>
  <si>
    <t xml:space="preserve">A-1</t>
  </si>
  <si>
    <t xml:space="preserve">㈜상산</t>
  </si>
  <si>
    <t xml:space="preserve">현장 확인 필요 — 사전 공개 자료에서 상세 정보를 확인하지 못함</t>
  </si>
  <si>
    <t xml:space="preserve">채널 파트너십 및 거래 기공소 네트워크 소개 가능성 문의</t>
  </si>
  <si>
    <t xml:space="preserve">현장 확인 필요</t>
  </si>
  <si>
    <t xml:space="preserve">A-6</t>
  </si>
  <si>
    <t xml:space="preserve">메트라이프㈜</t>
  </si>
  <si>
    <t xml:space="preserve">보험/금융/컨설팅</t>
  </si>
  <si>
    <t xml:space="preserve">직접 관련성 낮음 — 전시 부대 서비스 부스로 추정, 스킵 가능</t>
  </si>
  <si>
    <t xml:space="preserve">전시 부대 서비스(보험) 부스로 추정</t>
  </si>
  <si>
    <t xml:space="preserve">G-1</t>
  </si>
  <si>
    <t xml:space="preserve">주식회사 에디트코리아테크놀러지</t>
  </si>
  <si>
    <t xml:space="preserve">케이스ID·Rx·STL 등 파일 연동 구조 및 외부 시스템 수신 가능성 확인</t>
  </si>
  <si>
    <t xml:space="preserve">A-3</t>
  </si>
  <si>
    <t xml:space="preserve">하나링크(하나택배)</t>
  </si>
  <si>
    <t xml:space="preserve">물류</t>
  </si>
  <si>
    <t xml:space="preserve">직접 관련성 낮음 — 시간 남으면 명함 교환만</t>
  </si>
  <si>
    <t xml:space="preserve">기공물 배송 관련 물류사로 추정</t>
  </si>
  <si>
    <t xml:space="preserve">L-8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</si>
  <si>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성원덴탈</t>
    </r>
  </si>
  <si>
    <t xml:space="preserve">L-6</t>
  </si>
  <si>
    <t xml:space="preserve">㈜마이크로엔엑스</t>
  </si>
  <si>
    <r>
      <rPr>
        <sz val="9.5"/>
        <rFont val="Arial"/>
        <family val="0"/>
        <charset val="1"/>
      </rPr>
      <t xml:space="preserve">"</t>
    </r>
    <r>
      <rPr>
        <sz val="9.5"/>
        <rFont val="Noto Sans CJK SC"/>
        <family val="2"/>
      </rPr>
      <t xml:space="preserve">사용자가 가장 자주 잘못 설정하는 항목</t>
    </r>
    <r>
      <rPr>
        <sz val="9.5"/>
        <rFont val="Arial"/>
        <family val="0"/>
        <charset val="1"/>
      </rPr>
      <t xml:space="preserve">" </t>
    </r>
    <r>
      <rPr>
        <sz val="9.5"/>
        <rFont val="Noto Sans CJK SC"/>
        <family val="2"/>
      </rPr>
      <t xml:space="preserve">질문으로 실제 오류 패턴 확보</t>
    </r>
  </si>
  <si>
    <t xml:space="preserve">정밀가공/CNC 부품 관련 추정</t>
  </si>
  <si>
    <t xml:space="preserve">D-6</t>
  </si>
  <si>
    <t xml:space="preserve">나래출판사</t>
  </si>
  <si>
    <t xml:space="preserve">출판/미디어</t>
  </si>
  <si>
    <t xml:space="preserve">업계 콘텐츠 협업(칼럼·인터뷰) 가능성 문의, 정보 습득 채널로 활용</t>
  </si>
  <si>
    <t xml:space="preserve">치과기공 전문 출판사로 추정</t>
  </si>
  <si>
    <t xml:space="preserve">K-4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</si>
  <si>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레피오</t>
    </r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구 보원덴탈</t>
    </r>
    <r>
      <rPr>
        <sz val="9.5"/>
        <rFont val="Arial"/>
        <family val="0"/>
        <charset val="1"/>
      </rPr>
      <t xml:space="preserve">)</t>
    </r>
  </si>
  <si>
    <t xml:space="preserve">제작 조건·상부구조물 호환성 데이터 확보 가능성 문의 — 검증 규칙(Rule Engine) 데이터 소스로 활용</t>
  </si>
  <si>
    <t xml:space="preserve">B-7</t>
  </si>
  <si>
    <t xml:space="preserve">㈜세양</t>
  </si>
  <si>
    <t xml:space="preserve">A-7</t>
  </si>
  <si>
    <t xml:space="preserve">라빛바이오㈜</t>
  </si>
  <si>
    <t xml:space="preserve">소재별 제작 조건과 오류 규칙 확보 가능성 문의</t>
  </si>
  <si>
    <t xml:space="preserve">골이식재 등 바이오 소재 추정</t>
  </si>
  <si>
    <t xml:space="preserve">B-3</t>
  </si>
  <si>
    <t xml:space="preserve">아토메탈테크코리아㈜</t>
  </si>
  <si>
    <t xml:space="preserve">치과용 합금·메탈 소재 추정</t>
  </si>
  <si>
    <t xml:space="preserve">J-4</t>
  </si>
  <si>
    <t xml:space="preserve">㈜디맥스인터내셔널</t>
  </si>
  <si>
    <t xml:space="preserve">L-7</t>
  </si>
  <si>
    <t xml:space="preserve">㈜디맥스</t>
  </si>
  <si>
    <t xml:space="preserve">E-7</t>
  </si>
  <si>
    <t xml:space="preserve">㈜크리스탈옵틱</t>
  </si>
  <si>
    <t xml:space="preserve">광학/렌즈·소재 관련 추정</t>
  </si>
  <si>
    <t xml:space="preserve">D-3</t>
  </si>
  <si>
    <t xml:space="preserve">㈜유앤씨인터내셔널</t>
  </si>
  <si>
    <t xml:space="preserve">B-1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</si>
  <si>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문교</t>
    </r>
  </si>
  <si>
    <t xml:space="preserve">치과 서적/교육 자료 출판 추정</t>
  </si>
  <si>
    <t xml:space="preserve">D-4</t>
  </si>
  <si>
    <t xml:space="preserve">신원덴탈㈜</t>
  </si>
  <si>
    <t xml:space="preserve">C-9</t>
  </si>
  <si>
    <t xml:space="preserve">이지덴탈</t>
  </si>
  <si>
    <t xml:space="preserve">G-2</t>
  </si>
  <si>
    <t xml:space="preserve">바텍엠시스</t>
  </si>
  <si>
    <t xml:space="preserve">종합영상장비</t>
  </si>
  <si>
    <t xml:space="preserve">장비 데이터 출력 포맷 및 연동 가능성 간단히 확인</t>
  </si>
  <si>
    <r>
      <rPr>
        <sz val="9.5"/>
        <rFont val="Arial"/>
        <family val="0"/>
        <charset val="1"/>
      </rPr>
      <t xml:space="preserve">Vatech </t>
    </r>
    <r>
      <rPr>
        <sz val="9.5"/>
        <rFont val="Noto Sans CJK SC"/>
        <family val="2"/>
      </rPr>
      <t xml:space="preserve">계열 영상장비</t>
    </r>
    <r>
      <rPr>
        <sz val="9.5"/>
        <rFont val="Arial"/>
        <family val="0"/>
        <charset val="1"/>
      </rPr>
      <t xml:space="preserve">(CT/</t>
    </r>
    <r>
      <rPr>
        <sz val="9.5"/>
        <rFont val="Noto Sans CJK SC"/>
        <family val="2"/>
      </rPr>
      <t xml:space="preserve">파노라마</t>
    </r>
    <r>
      <rPr>
        <sz val="9.5"/>
        <rFont val="Arial"/>
        <family val="0"/>
        <charset val="1"/>
      </rPr>
      <t xml:space="preserve">) </t>
    </r>
    <r>
      <rPr>
        <sz val="9.5"/>
        <rFont val="Noto Sans CJK SC"/>
        <family val="2"/>
      </rPr>
      <t xml:space="preserve">관련 추정</t>
    </r>
  </si>
  <si>
    <t xml:space="preserve">L-3</t>
  </si>
  <si>
    <t xml:space="preserve">㈜코맥스</t>
  </si>
  <si>
    <t xml:space="preserve">F-2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</si>
  <si>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라보테크</t>
    </r>
  </si>
  <si>
    <t xml:space="preserve">기공소 장비/소재 유통 추정</t>
  </si>
  <si>
    <t xml:space="preserve">현장 확인 필요 (F-2 부스 한진덴탈과 공동 표기)</t>
  </si>
  <si>
    <t xml:space="preserve">B-6</t>
  </si>
  <si>
    <t xml:space="preserve">㈜플러스덴/㈜디에스엠 홀딩스</t>
  </si>
  <si>
    <t xml:space="preserve">C-3</t>
  </si>
  <si>
    <t xml:space="preserve">세종덴탈</t>
  </si>
  <si>
    <t xml:space="preserve">B-9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</si>
  <si>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코비젼</t>
    </r>
  </si>
  <si>
    <t xml:space="preserve">구강스캔·CAD 관련 소프트웨어 추정</t>
  </si>
  <si>
    <t xml:space="preserve">B-5</t>
  </si>
  <si>
    <t xml:space="preserve">㈜마닉스</t>
  </si>
  <si>
    <t xml:space="preserve">프린팅 조건(레진 종류·경화조건)의 검증 규칙화 가능성 문의</t>
  </si>
  <si>
    <t xml:space="preserve">J-3</t>
  </si>
  <si>
    <t xml:space="preserve">㈜베리콤</t>
  </si>
  <si>
    <t xml:space="preserve">임플란트·지르코니아 재료 추정</t>
  </si>
  <si>
    <t xml:space="preserve">K-1</t>
  </si>
  <si>
    <t xml:space="preserve">주식회사 젠코어</t>
  </si>
  <si>
    <t xml:space="preserve">L-5</t>
  </si>
  <si>
    <t xml:space="preserve">㈜알파덴트</t>
  </si>
  <si>
    <t xml:space="preserve">L-4</t>
  </si>
  <si>
    <t xml:space="preserve">덴스타㈜</t>
  </si>
  <si>
    <t xml:space="preserve">E-6</t>
  </si>
  <si>
    <t xml:space="preserve">㈜한국석고 KOROCK</t>
  </si>
  <si>
    <t xml:space="preserve">치과용 석고(모형재) 제조 추정</t>
  </si>
  <si>
    <t xml:space="preserve">B-2</t>
  </si>
  <si>
    <t xml:space="preserve">㈜에드인 / ㈜에승덴탈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</si>
  <si>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한진덴탈</t>
    </r>
  </si>
  <si>
    <t xml:space="preserve">현장 확인 필요 (F-2 공동부스)</t>
  </si>
  <si>
    <t xml:space="preserve">I-3</t>
  </si>
  <si>
    <t xml:space="preserve">에이드랩</t>
  </si>
  <si>
    <t xml:space="preserve">M-7</t>
  </si>
  <si>
    <t xml:space="preserve">에프엠파라이프</t>
  </si>
  <si>
    <t xml:space="preserve">A-8</t>
  </si>
  <si>
    <t xml:space="preserve">㈜덴바이오</t>
  </si>
  <si>
    <t xml:space="preserve">C-1</t>
  </si>
  <si>
    <t xml:space="preserve">한국씨엔텍</t>
  </si>
  <si>
    <t xml:space="preserve">확인 필요 (C-1 카펜터 테크놀로지와 공동부스)</t>
  </si>
  <si>
    <t xml:space="preserve">A-10</t>
  </si>
  <si>
    <t xml:space="preserve">㈜비엔이코리아</t>
  </si>
  <si>
    <t xml:space="preserve">C-6</t>
  </si>
  <si>
    <t xml:space="preserve">주식회사 조이덴트</t>
  </si>
  <si>
    <t xml:space="preserve">I-5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</si>
  <si>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휴로보틱스</t>
    </r>
  </si>
  <si>
    <t xml:space="preserve">로봇/자동화</t>
  </si>
  <si>
    <t xml:space="preserve">치과기공 자동화 트렌드 파악 차원에서 짧게 확인</t>
  </si>
  <si>
    <t xml:space="preserve">치과기공 자동화 로봇 관련 추정</t>
  </si>
  <si>
    <t xml:space="preserve">K-3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</si>
  <si>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신세기인터내셔널</t>
    </r>
  </si>
  <si>
    <t xml:space="preserve">C-7</t>
  </si>
  <si>
    <t xml:space="preserve">㈜덴탈러너</t>
  </si>
  <si>
    <t xml:space="preserve">카펜터 테크놀로지 (Carpenter Technology)</t>
  </si>
  <si>
    <t xml:space="preserve">글로벌 특수합금 제조사 한국 지사/총판으로 추정 (C-1 공동부스)</t>
  </si>
  <si>
    <t xml:space="preserve">C-8</t>
  </si>
  <si>
    <t xml:space="preserve">피제이덴탈 &amp; ㈜스타로이</t>
  </si>
  <si>
    <t xml:space="preserve">치과용 합금(스타로이 브랜드) 관련 추정</t>
  </si>
  <si>
    <t xml:space="preserve">E-5</t>
  </si>
  <si>
    <t xml:space="preserve">대성치재㈜</t>
  </si>
  <si>
    <t xml:space="preserve">치과 재료(치재) 제조 추정</t>
  </si>
  <si>
    <t xml:space="preserve">E-4</t>
  </si>
  <si>
    <t xml:space="preserve">㈜올어바운어버트먼트</t>
  </si>
  <si>
    <t xml:space="preserve">어버트먼트(임플란트 상부구조물) 전문 추정</t>
  </si>
  <si>
    <t xml:space="preserve">M-5</t>
  </si>
  <si>
    <t xml:space="preserve">온트랙 컨설팅</t>
  </si>
  <si>
    <t xml:space="preserve">경영/세무 컨설팅 추정</t>
  </si>
  <si>
    <t xml:space="preserve">L-9</t>
  </si>
  <si>
    <t xml:space="preserve">㈜우정메디텍</t>
  </si>
  <si>
    <t xml:space="preserve">의료기기 유통 추정</t>
  </si>
  <si>
    <t xml:space="preserve">M-8</t>
  </si>
  <si>
    <r>
      <rPr>
        <sz val="9.5"/>
        <rFont val="Arial"/>
        <family val="0"/>
        <charset val="1"/>
      </rPr>
      <t xml:space="preserve">(</t>
    </r>
    <r>
      <rPr>
        <sz val="9.5"/>
        <rFont val="Noto Sans CJK SC"/>
        <family val="2"/>
      </rPr>
      <t xml:space="preserve">주</t>
    </r>
    <r>
      <rPr>
        <sz val="9.5"/>
        <rFont val="Arial"/>
        <family val="0"/>
        <charset val="1"/>
      </rPr>
      <t xml:space="preserve">)</t>
    </r>
    <r>
      <rPr>
        <sz val="9.5"/>
        <rFont val="Noto Sans CJK SC"/>
        <family val="2"/>
      </rPr>
      <t xml:space="preserve">메트로덴</t>
    </r>
  </si>
  <si>
    <t xml:space="preserve">위덴탈</t>
  </si>
  <si>
    <t xml:space="preserve">확인 필요 (E-3 엑스티세라와 공동부스)</t>
  </si>
  <si>
    <t xml:space="preserve">D-2</t>
  </si>
  <si>
    <t xml:space="preserve">덴탈웨이 / 닥터스글로벌</t>
  </si>
  <si>
    <t xml:space="preserve">디지털 기공 서비스/유통 추정</t>
  </si>
  <si>
    <t xml:space="preserve">D-7</t>
  </si>
  <si>
    <t xml:space="preserve">한국퀸텐센스출판㈜</t>
  </si>
  <si>
    <t xml:space="preserve">치과 전문서적(Quintessence) 출판 추정</t>
  </si>
  <si>
    <t xml:space="preserve">A-9</t>
  </si>
  <si>
    <t xml:space="preserve">세종무역㈜</t>
  </si>
  <si>
    <t xml:space="preserve">치과 기자재 수출입 유통 추정</t>
  </si>
  <si>
    <t xml:space="preserve">M-4</t>
  </si>
  <si>
    <t xml:space="preserve">심다</t>
  </si>
  <si>
    <t xml:space="preserve">정보 부족</t>
  </si>
  <si>
    <t xml:space="preserve">현장 부스 방문 시 카테고리 우선 파악 필요</t>
  </si>
  <si>
    <t xml:space="preserve">M-2</t>
  </si>
  <si>
    <t xml:space="preserve">피데스 웰스</t>
  </si>
  <si>
    <t xml:space="preserve">자산관리/컨설팅 추정</t>
  </si>
  <si>
    <t xml:space="preserve">K-5</t>
  </si>
  <si>
    <r>
      <rPr>
        <sz val="9.5"/>
        <rFont val="Arial"/>
        <family val="0"/>
        <charset val="1"/>
      </rPr>
      <t xml:space="preserve">2</t>
    </r>
    <r>
      <rPr>
        <sz val="9.5"/>
        <rFont val="Noto Sans CJK SC"/>
        <family val="2"/>
      </rPr>
      <t xml:space="preserve">티에이지</t>
    </r>
  </si>
  <si>
    <t xml:space="preserve">공식 리스트 표기 그대로(오탈자 가능성) — 현장 재확인 필요</t>
  </si>
  <si>
    <t xml:space="preserve">I-4</t>
  </si>
  <si>
    <t xml:space="preserve">㈜디팩토리</t>
  </si>
  <si>
    <r>
      <rPr>
        <sz val="9.5"/>
        <rFont val="Arial"/>
        <family val="0"/>
        <charset val="1"/>
      </rPr>
      <t xml:space="preserve">3D</t>
    </r>
    <r>
      <rPr>
        <sz val="9.5"/>
        <rFont val="Noto Sans CJK SC"/>
        <family val="2"/>
      </rPr>
      <t xml:space="preserve">프린팅</t>
    </r>
    <r>
      <rPr>
        <sz val="9.5"/>
        <rFont val="Arial"/>
        <family val="0"/>
        <charset val="1"/>
      </rPr>
      <t xml:space="preserve">/</t>
    </r>
    <r>
      <rPr>
        <sz val="9.5"/>
        <rFont val="Noto Sans CJK SC"/>
        <family val="2"/>
      </rPr>
      <t xml:space="preserve">제작 서비스 추정</t>
    </r>
  </si>
  <si>
    <t xml:space="preserve">I-6</t>
  </si>
  <si>
    <t xml:space="preserve">유덴트 &amp; 기공마켓</t>
  </si>
  <si>
    <t xml:space="preserve">온라인 플랫폼</t>
  </si>
  <si>
    <t xml:space="preserve">치과기공 커뮤니티/유통 플랫폼 협업(데이터·레퍼런스) 가능성 문의</t>
  </si>
  <si>
    <t xml:space="preserve">온라인 기공 재료 유통 플랫폼 추정</t>
  </si>
  <si>
    <t xml:space="preserve">M-6</t>
  </si>
  <si>
    <t xml:space="preserve">하셈</t>
  </si>
  <si>
    <t xml:space="preserve">㈜하이덴탈코리아</t>
  </si>
  <si>
    <t xml:space="preserve">확인 필요 (H-1 이마고웍스와 공동부스)</t>
  </si>
  <si>
    <t xml:space="preserve">M-1</t>
  </si>
  <si>
    <t xml:space="preserve">신덴탈㈜</t>
  </si>
  <si>
    <t xml:space="preserve">F-3</t>
  </si>
  <si>
    <t xml:space="preserve">㈜피디치과상사</t>
  </si>
  <si>
    <t xml:space="preserve">M-3</t>
  </si>
  <si>
    <t xml:space="preserve">찬스덴탈</t>
  </si>
  <si>
    <t xml:space="preserve">B-8</t>
  </si>
  <si>
    <t xml:space="preserve">가온누리 컴퍼니</t>
  </si>
  <si>
    <t xml:space="preserve">A-5</t>
  </si>
  <si>
    <t xml:space="preserve">아트치과기공소</t>
  </si>
  <si>
    <t xml:space="preserve">치과기공소</t>
  </si>
  <si>
    <t xml:space="preserve">직접 치과기공소 부스 — 파일럿 참여 의향 직접 타진 가능한 최우선 컨택 후보</t>
  </si>
  <si>
    <t xml:space="preserve">치과기공소 자체 참가 부스로 추정 — 실제 현장 워크플로우 관찰 기회</t>
  </si>
  <si>
    <t xml:space="preserve">C-2</t>
  </si>
  <si>
    <t xml:space="preserve">덴탈길</t>
  </si>
  <si>
    <t xml:space="preserve">치과기공 정보/커뮤니티 플랫폼 추정</t>
  </si>
  <si>
    <t xml:space="preserve">A-6-2</t>
  </si>
  <si>
    <t xml:space="preserve">덴탈링크</t>
  </si>
  <si>
    <t xml:space="preserve">유통/플랫폼 추정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</si>
</sst>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8"/>
      <color rgb="FFFFFFFF"/>
      <name val="Noto Sans CJK SC"/>
      <family val="2"/>
    </font>
    <font>
      <i val="true"/>
      <sz val="10"/>
      <color rgb="FF595959"/>
      <name val="Arial"/>
      <family val="0"/>
      <charset val="1"/>
    </font>
    <font>
      <i val="true"/>
      <sz val="10"/>
      <color rgb="FF595959"/>
      <name val="Noto Sans CJK SC"/>
      <family val="2"/>
    </font>
    <font>
      <b val="true"/>
      <sz val="12"/>
      <color rgb="FF1F3864"/>
      <name val="Arial"/>
      <family val="0"/>
      <charset val="1"/>
    </font>
    <font>
      <b val="true"/>
      <sz val="12"/>
      <color rgb="FF1F3864"/>
      <name val="Noto Sans CJK SC"/>
      <family val="2"/>
    </font>
    <font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color rgb="FF666666"/>
      <name val="Noto Sans CJK SC"/>
      <family val="2"/>
      <charset val="1"/>
    </font>
    <font>
      <b val="true"/>
      <sz val="16"/>
      <color rgb="FFFFFFFF"/>
      <name val="Noto Sans CJK SC"/>
      <family val="2"/>
      <charset val="1"/>
    </font>
    <font>
      <b val="true"/>
      <sz val="11"/>
      <color rgb="FF1F3864"/>
      <name val="Noto Sans CJK SC"/>
      <family val="2"/>
      <charset val="1"/>
    </font>
    <font>
      <i val="true"/>
      <sz val="10"/>
      <name val="Arial"/>
      <family val="0"/>
      <charset val="1"/>
    </font>
    <font>
      <i val="true"/>
      <sz val="10"/>
      <name val="Noto Sans CJK SC"/>
      <family val="2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Noto Sans CJK SC"/>
      <family val="2"/>
    </font>
    <font>
      <b val="true"/>
      <sz val="9"/>
      <name val="Arial"/>
      <family val="0"/>
      <charset val="1"/>
    </font>
    <font>
      <b val="true"/>
      <sz val="9"/>
      <color rgb="FF1F3864"/>
      <name val="Noto Sans CJK SC"/>
      <family val="2"/>
      <charset val="1"/>
    </font>
    <font>
      <sz val="9.5"/>
      <name val="Arial"/>
      <family val="0"/>
      <charset val="1"/>
    </font>
    <font>
      <sz val="9.5"/>
      <name val="Noto Sans CJK SC"/>
      <family val="2"/>
      <charset val="1"/>
    </font>
    <font>
      <sz val="9.5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2E5395"/>
        <bgColor rgb="FF1F3864"/>
      </patternFill>
    </fill>
    <fill>
      <patternFill patternType="solid">
        <fgColor rgb="FFF2F2F2"/>
        <bgColor rgb="FFF7F7F7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9B9B9B"/>
      </patternFill>
    </fill>
    <fill>
      <patternFill patternType="solid">
        <fgColor rgb="FFFCE0E0"/>
        <bgColor rgb="FFFDEBD8"/>
      </patternFill>
    </fill>
    <fill>
      <patternFill patternType="solid">
        <fgColor rgb="FFFDEBD8"/>
        <bgColor rgb="FFFCE0E0"/>
      </patternFill>
    </fill>
    <fill>
      <patternFill patternType="solid">
        <fgColor rgb="FF9B9B9B"/>
        <bgColor rgb="FFA6A6A6"/>
      </patternFill>
    </fill>
    <fill>
      <patternFill patternType="solid">
        <fgColor rgb="FFF7F7F7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993366"/>
      <rgbColor rgb="FFFDEBD8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CFFCC"/>
      <rgbColor rgb="FFFFFF99"/>
      <rgbColor rgb="FF99CCFF"/>
      <rgbColor rgb="FFFF99CC"/>
      <rgbColor rgb="FFCC99FF"/>
      <rgbColor rgb="FFFCE0E0"/>
      <rgbColor rgb="FF3366FF"/>
      <rgbColor rgb="FF33CCCC"/>
      <rgbColor rgb="FF99CC00"/>
      <rgbColor rgb="FFFFCC00"/>
      <rgbColor rgb="FFFF9900"/>
      <rgbColor rgb="FFED7D31"/>
      <rgbColor rgb="FF666666"/>
      <rgbColor rgb="FF9B9B9B"/>
      <rgbColor rgb="FF1F3864"/>
      <rgbColor rgb="FF339966"/>
      <rgbColor rgb="FF003300"/>
      <rgbColor rgb="FF333300"/>
      <rgbColor rgb="FF993300"/>
      <rgbColor rgb="FF993366"/>
      <rgbColor rgb="FF2E5395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6" min="3" style="1" width="16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8.75" hidden="false" customHeight="true" outlineLevel="0" collapsed="false">
      <c r="A4" s="4" t="s">
        <v>2</v>
      </c>
    </row>
    <row r="5" customFormat="false" ht="30" hidden="false" customHeight="true" outlineLevel="0" collapsed="false">
      <c r="A5" s="5" t="s">
        <v>3</v>
      </c>
      <c r="B5" s="5"/>
      <c r="C5" s="5"/>
      <c r="D5" s="5"/>
      <c r="E5" s="5"/>
      <c r="F5" s="5"/>
    </row>
    <row r="6" customFormat="false" ht="30" hidden="false" customHeight="true" outlineLevel="0" collapsed="false">
      <c r="A6" s="5" t="s">
        <v>4</v>
      </c>
      <c r="B6" s="5"/>
      <c r="C6" s="5"/>
      <c r="D6" s="5"/>
      <c r="E6" s="5"/>
      <c r="F6" s="5"/>
    </row>
    <row r="7" customFormat="false" ht="30" hidden="false" customHeight="true" outlineLevel="0" collapsed="false">
      <c r="A7" s="5" t="s">
        <v>5</v>
      </c>
      <c r="B7" s="5"/>
      <c r="C7" s="5"/>
      <c r="D7" s="5"/>
      <c r="E7" s="5"/>
      <c r="F7" s="5"/>
    </row>
    <row r="8" customFormat="false" ht="30" hidden="false" customHeight="true" outlineLevel="0" collapsed="false">
      <c r="A8" s="5" t="s">
        <v>6</v>
      </c>
      <c r="B8" s="5"/>
      <c r="C8" s="5"/>
      <c r="D8" s="5"/>
      <c r="E8" s="5"/>
      <c r="F8" s="5"/>
    </row>
    <row r="10" customFormat="false" ht="18.75" hidden="false" customHeight="true" outlineLevel="0" collapsed="false">
      <c r="A10" s="4" t="s">
        <v>7</v>
      </c>
    </row>
    <row r="11" customFormat="false" ht="15" hidden="false" customHeight="true" outlineLevel="0" collapsed="false">
      <c r="A11" s="6" t="s">
        <v>8</v>
      </c>
      <c r="B11" s="6" t="s">
        <v>9</v>
      </c>
    </row>
    <row r="12" customFormat="false" ht="15" hidden="false" customHeight="true" outlineLevel="0" collapsed="false">
      <c r="A12" s="7" t="s">
        <v>10</v>
      </c>
      <c r="B12" s="8" t="s">
        <v>11</v>
      </c>
      <c r="C12" s="9"/>
    </row>
    <row r="13" customFormat="false" ht="15" hidden="false" customHeight="true" outlineLevel="0" collapsed="false">
      <c r="A13" s="10" t="s">
        <v>12</v>
      </c>
      <c r="B13" s="11" t="s">
        <v>13</v>
      </c>
      <c r="C13" s="9"/>
    </row>
    <row r="14" customFormat="false" ht="15" hidden="false" customHeight="true" outlineLevel="0" collapsed="false">
      <c r="A14" s="7" t="s">
        <v>14</v>
      </c>
      <c r="B14" s="8" t="s">
        <v>15</v>
      </c>
      <c r="C14" s="9"/>
    </row>
    <row r="15" customFormat="false" ht="15" hidden="false" customHeight="true" outlineLevel="0" collapsed="false">
      <c r="A15" s="10" t="s">
        <v>16</v>
      </c>
      <c r="B15" s="11" t="s">
        <v>17</v>
      </c>
      <c r="C15" s="9"/>
    </row>
    <row r="16" customFormat="false" ht="15" hidden="false" customHeight="true" outlineLevel="0" collapsed="false">
      <c r="A16" s="7" t="s">
        <v>18</v>
      </c>
      <c r="B16" s="8" t="s">
        <v>19</v>
      </c>
      <c r="C16" s="9"/>
    </row>
    <row r="17" customFormat="false" ht="15" hidden="false" customHeight="true" outlineLevel="0" collapsed="false">
      <c r="A17" s="10" t="s">
        <v>20</v>
      </c>
      <c r="B17" s="11" t="s">
        <v>21</v>
      </c>
      <c r="C17" s="9"/>
    </row>
    <row r="18" customFormat="false" ht="15" hidden="false" customHeight="true" outlineLevel="0" collapsed="false">
      <c r="A18" s="7" t="s">
        <v>22</v>
      </c>
      <c r="B18" s="8" t="s">
        <v>23</v>
      </c>
      <c r="C18" s="9"/>
    </row>
    <row r="20" customFormat="false" ht="18.75" hidden="false" customHeight="true" outlineLevel="0" collapsed="false">
      <c r="A20" s="4" t="s">
        <v>24</v>
      </c>
    </row>
    <row r="21" customFormat="false" ht="27.75" hidden="false" customHeight="true" outlineLevel="0" collapsed="false">
      <c r="A21" s="12" t="s">
        <v>25</v>
      </c>
      <c r="B21" s="7" t="s">
        <v>26</v>
      </c>
      <c r="C21" s="7"/>
      <c r="D21" s="7"/>
      <c r="E21" s="7"/>
      <c r="F21" s="7"/>
    </row>
    <row r="22" customFormat="false" ht="27.75" hidden="false" customHeight="true" outlineLevel="0" collapsed="false">
      <c r="A22" s="13" t="s">
        <v>27</v>
      </c>
      <c r="B22" s="7" t="s">
        <v>28</v>
      </c>
      <c r="C22" s="7"/>
      <c r="D22" s="7"/>
      <c r="E22" s="7"/>
      <c r="F22" s="7"/>
    </row>
    <row r="23" customFormat="false" ht="27.75" hidden="false" customHeight="true" outlineLevel="0" collapsed="false">
      <c r="A23" s="14" t="s">
        <v>29</v>
      </c>
      <c r="B23" s="7" t="s">
        <v>30</v>
      </c>
      <c r="C23" s="7"/>
      <c r="D23" s="7"/>
      <c r="E23" s="7"/>
      <c r="F23" s="7"/>
    </row>
    <row r="24" customFormat="false" ht="18" hidden="false" customHeight="true" outlineLevel="0" collapsed="false">
      <c r="A24" s="15" t="str">
        <f aca="false">"현재 집계: S급 "&amp;'부스 전체 리스트'!B2&amp;"곳 · A급 "&amp;'부스 전체 리스트'!D2&amp;"곳 · B급 "&amp;'부스 전체 리스트'!F2&amp;"곳 · 전체(중복부스 포함) "&amp;'부스 전체 리스트'!H2&amp;"곳"</f>
        <v>현재 집계: S급 6곳 · A급 13곳 · B급 66곳 · 전체(중복부스 포함) 85곳</v>
      </c>
      <c r="B24" s="15"/>
      <c r="C24" s="15"/>
      <c r="D24" s="15"/>
      <c r="E24" s="15"/>
      <c r="F24" s="15"/>
    </row>
    <row r="25" customFormat="false" ht="18.75" hidden="false" customHeight="true" outlineLevel="0" collapsed="false">
      <c r="A25" s="4" t="s">
        <v>31</v>
      </c>
    </row>
    <row r="26" customFormat="false" ht="15" hidden="false" customHeight="true" outlineLevel="0" collapsed="false">
      <c r="A26" s="16" t="s">
        <v>32</v>
      </c>
      <c r="B26" s="16"/>
      <c r="C26" s="16"/>
      <c r="D26" s="16"/>
      <c r="E26" s="16"/>
      <c r="F26" s="16"/>
    </row>
    <row r="27" customFormat="false" ht="27.75" hidden="false" customHeight="true" outlineLevel="0" collapsed="false">
      <c r="A27" s="17" t="s">
        <v>33</v>
      </c>
      <c r="B27" s="17"/>
      <c r="C27" s="17"/>
      <c r="D27" s="17"/>
      <c r="E27" s="17"/>
      <c r="F27" s="17"/>
    </row>
    <row r="28" customFormat="false" ht="15" hidden="false" customHeight="true" outlineLevel="0" collapsed="false">
      <c r="A28" s="16" t="s">
        <v>34</v>
      </c>
      <c r="B28" s="16"/>
      <c r="C28" s="16"/>
      <c r="D28" s="16"/>
      <c r="E28" s="16"/>
      <c r="F28" s="16"/>
    </row>
    <row r="29" customFormat="false" ht="27.75" hidden="false" customHeight="true" outlineLevel="0" collapsed="false">
      <c r="A29" s="17" t="s">
        <v>35</v>
      </c>
      <c r="B29" s="17"/>
      <c r="C29" s="17"/>
      <c r="D29" s="17"/>
      <c r="E29" s="17"/>
      <c r="F29" s="17"/>
    </row>
    <row r="30" customFormat="false" ht="15" hidden="false" customHeight="true" outlineLevel="0" collapsed="false">
      <c r="A30" s="16" t="s">
        <v>36</v>
      </c>
      <c r="B30" s="16"/>
      <c r="C30" s="16"/>
      <c r="D30" s="16"/>
      <c r="E30" s="16"/>
      <c r="F30" s="16"/>
    </row>
    <row r="31" customFormat="false" ht="27.75" hidden="false" customHeight="true" outlineLevel="0" collapsed="false">
      <c r="A31" s="17" t="s">
        <v>37</v>
      </c>
      <c r="B31" s="17"/>
      <c r="C31" s="17"/>
      <c r="D31" s="17"/>
      <c r="E31" s="17"/>
      <c r="F31" s="17"/>
    </row>
    <row r="32" customFormat="false" ht="15" hidden="false" customHeight="true" outlineLevel="0" collapsed="false">
      <c r="A32" s="16" t="s">
        <v>38</v>
      </c>
      <c r="B32" s="16"/>
      <c r="C32" s="16"/>
      <c r="D32" s="16"/>
      <c r="E32" s="16"/>
      <c r="F32" s="16"/>
    </row>
    <row r="33" customFormat="false" ht="27.75" hidden="false" customHeight="true" outlineLevel="0" collapsed="false">
      <c r="A33" s="5" t="s">
        <v>39</v>
      </c>
      <c r="B33" s="5"/>
      <c r="C33" s="5"/>
      <c r="D33" s="5"/>
      <c r="E33" s="5"/>
      <c r="F33" s="5"/>
    </row>
    <row r="35" customFormat="false" ht="18.75" hidden="false" customHeight="true" outlineLevel="0" collapsed="false">
      <c r="A35" s="4" t="s">
        <v>40</v>
      </c>
    </row>
    <row r="36" customFormat="false" ht="42" hidden="false" customHeight="true" outlineLevel="0" collapsed="false">
      <c r="A36" s="5" t="s">
        <v>41</v>
      </c>
      <c r="B36" s="5"/>
      <c r="C36" s="5"/>
      <c r="D36" s="5"/>
      <c r="E36" s="5"/>
      <c r="F36" s="5"/>
    </row>
    <row r="38" customFormat="false" ht="43.5" hidden="false" customHeight="true" outlineLevel="0" collapsed="false">
      <c r="A38" s="18" t="s">
        <v>42</v>
      </c>
      <c r="B38" s="18"/>
      <c r="C38" s="18"/>
      <c r="D38" s="18"/>
      <c r="E38" s="18"/>
      <c r="F38" s="18"/>
    </row>
  </sheetData>
  <mergeCells count="21">
    <mergeCell ref="A1:F1"/>
    <mergeCell ref="A2:F2"/>
    <mergeCell ref="A5:F5"/>
    <mergeCell ref="A6:F6"/>
    <mergeCell ref="A7:F7"/>
    <mergeCell ref="A8:F8"/>
    <mergeCell ref="C12:C18"/>
    <mergeCell ref="B21:F21"/>
    <mergeCell ref="B22:F22"/>
    <mergeCell ref="B23:F23"/>
    <mergeCell ref="A24:F24"/>
    <mergeCell ref="A26:F26"/>
    <mergeCell ref="A27:F27"/>
    <mergeCell ref="A28:F28"/>
    <mergeCell ref="A29:F29"/>
    <mergeCell ref="A30:F30"/>
    <mergeCell ref="A31:F31"/>
    <mergeCell ref="A32:F32"/>
    <mergeCell ref="A33:F33"/>
    <mergeCell ref="A36:F36"/>
    <mergeCell ref="A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34"/>
    <col collapsed="false" customWidth="true" hidden="false" outlineLevel="0" max="4" min="4" style="1" width="55"/>
    <col collapsed="false" customWidth="true" hidden="false" outlineLevel="0" max="5" min="5" style="1" width="34"/>
  </cols>
  <sheetData>
    <row r="1" customFormat="false" ht="30" hidden="false" customHeight="true" outlineLevel="0" collapsed="false">
      <c r="A1" s="19" t="s">
        <v>43</v>
      </c>
      <c r="B1" s="19"/>
      <c r="C1" s="19"/>
      <c r="D1" s="19"/>
      <c r="E1" s="19"/>
    </row>
    <row r="3" customFormat="false" ht="15" hidden="false" customHeight="true" outlineLevel="0" collapsed="false">
      <c r="A3" s="6" t="s">
        <v>44</v>
      </c>
      <c r="B3" s="6" t="s">
        <v>45</v>
      </c>
      <c r="C3" s="6" t="s">
        <v>46</v>
      </c>
      <c r="D3" s="6" t="s">
        <v>47</v>
      </c>
      <c r="E3" s="6" t="s">
        <v>9</v>
      </c>
    </row>
    <row r="4" customFormat="false" ht="84.75" hidden="false" customHeight="true" outlineLevel="0" collapsed="false">
      <c r="A4" s="8" t="s">
        <v>48</v>
      </c>
      <c r="B4" s="7" t="s">
        <v>49</v>
      </c>
      <c r="C4" s="7" t="s">
        <v>50</v>
      </c>
      <c r="D4" s="7" t="s">
        <v>51</v>
      </c>
      <c r="E4" s="7" t="s">
        <v>52</v>
      </c>
    </row>
    <row r="5" customFormat="false" ht="84.75" hidden="false" customHeight="true" outlineLevel="0" collapsed="false">
      <c r="A5" s="11" t="s">
        <v>53</v>
      </c>
      <c r="B5" s="10" t="s">
        <v>54</v>
      </c>
      <c r="C5" s="11" t="s">
        <v>55</v>
      </c>
      <c r="D5" s="10" t="s">
        <v>56</v>
      </c>
      <c r="E5" s="10" t="s">
        <v>57</v>
      </c>
    </row>
    <row r="6" customFormat="false" ht="84.75" hidden="false" customHeight="true" outlineLevel="0" collapsed="false">
      <c r="A6" s="8" t="s">
        <v>58</v>
      </c>
      <c r="B6" s="7" t="s">
        <v>59</v>
      </c>
      <c r="C6" s="7" t="s">
        <v>60</v>
      </c>
      <c r="D6" s="8" t="s">
        <v>61</v>
      </c>
      <c r="E6" s="8" t="s">
        <v>62</v>
      </c>
    </row>
    <row r="8" customFormat="false" ht="15" hidden="false" customHeight="true" outlineLevel="0" collapsed="false">
      <c r="A8" s="20" t="s">
        <v>63</v>
      </c>
    </row>
    <row r="9" customFormat="false" ht="30" hidden="false" customHeight="true" outlineLevel="0" collapsed="false">
      <c r="A9" s="21" t="s">
        <v>64</v>
      </c>
      <c r="B9" s="21"/>
      <c r="C9" s="21"/>
      <c r="D9" s="21"/>
      <c r="E9" s="21"/>
    </row>
  </sheetData>
  <mergeCells count="2">
    <mergeCell ref="A1:E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16"/>
    <col collapsed="false" customWidth="true" hidden="false" outlineLevel="0" max="5" min="5" style="1" width="46"/>
    <col collapsed="false" customWidth="true" hidden="false" outlineLevel="0" max="6" min="6" style="1" width="4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34"/>
    <col collapsed="false" customWidth="true" hidden="false" outlineLevel="0" max="10" min="10" style="1" width="26"/>
  </cols>
  <sheetData>
    <row r="1" customFormat="false" ht="25.5" hidden="false" customHeight="true" outlineLevel="0" collapsed="false">
      <c r="A1" s="22" t="s">
        <v>65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15.75" hidden="false" customHeight="true" outlineLevel="0" collapsed="false">
      <c r="A2" s="23" t="s">
        <v>66</v>
      </c>
      <c r="B2" s="24" t="n">
        <f aca="false">COUNTIF(A4:A88,"S")</f>
        <v>6</v>
      </c>
      <c r="C2" s="23" t="s">
        <v>67</v>
      </c>
      <c r="D2" s="24" t="n">
        <f aca="false">COUNTIF(A4:A88,"A")</f>
        <v>13</v>
      </c>
      <c r="E2" s="23" t="s">
        <v>68</v>
      </c>
      <c r="F2" s="24" t="n">
        <f aca="false">COUNTIF(A4:A88,"B")</f>
        <v>66</v>
      </c>
      <c r="G2" s="25" t="s">
        <v>69</v>
      </c>
      <c r="H2" s="24" t="n">
        <f aca="false">COUNTA(A4:A88)</f>
        <v>85</v>
      </c>
    </row>
    <row r="3" customFormat="false" ht="19.5" hidden="false" customHeight="true" outlineLevel="0" collapsed="false">
      <c r="A3" s="6" t="s">
        <v>70</v>
      </c>
      <c r="B3" s="6" t="s">
        <v>71</v>
      </c>
      <c r="C3" s="6" t="s">
        <v>72</v>
      </c>
      <c r="D3" s="6" t="s">
        <v>73</v>
      </c>
      <c r="E3" s="6" t="s">
        <v>74</v>
      </c>
      <c r="F3" s="6" t="s">
        <v>75</v>
      </c>
      <c r="G3" s="6" t="s">
        <v>76</v>
      </c>
      <c r="H3" s="6" t="s">
        <v>77</v>
      </c>
      <c r="I3" s="6" t="s">
        <v>78</v>
      </c>
      <c r="J3" s="6" t="s">
        <v>79</v>
      </c>
    </row>
    <row r="4" customFormat="false" ht="45.75" hidden="false" customHeight="true" outlineLevel="0" collapsed="false">
      <c r="A4" s="12" t="s">
        <v>80</v>
      </c>
      <c r="B4" s="26" t="s">
        <v>81</v>
      </c>
      <c r="C4" s="27" t="s">
        <v>82</v>
      </c>
      <c r="D4" s="26" t="s">
        <v>83</v>
      </c>
      <c r="E4" s="26" t="s">
        <v>84</v>
      </c>
      <c r="F4" s="26" t="s">
        <v>85</v>
      </c>
      <c r="G4" s="27" t="s">
        <v>86</v>
      </c>
      <c r="H4" s="27" t="s">
        <v>87</v>
      </c>
      <c r="I4" s="27" t="s">
        <v>88</v>
      </c>
      <c r="J4" s="27" t="s">
        <v>89</v>
      </c>
    </row>
    <row r="5" customFormat="false" ht="45.75" hidden="false" customHeight="true" outlineLevel="0" collapsed="false">
      <c r="A5" s="12" t="s">
        <v>80</v>
      </c>
      <c r="B5" s="26" t="s">
        <v>90</v>
      </c>
      <c r="C5" s="27" t="s">
        <v>91</v>
      </c>
      <c r="D5" s="26" t="s">
        <v>92</v>
      </c>
      <c r="E5" s="27" t="s">
        <v>93</v>
      </c>
      <c r="F5" s="26" t="s">
        <v>94</v>
      </c>
      <c r="G5" s="27" t="s">
        <v>95</v>
      </c>
      <c r="H5" s="27" t="s">
        <v>96</v>
      </c>
      <c r="I5" s="27" t="s">
        <v>97</v>
      </c>
      <c r="J5" s="26" t="s">
        <v>98</v>
      </c>
    </row>
    <row r="6" customFormat="false" ht="45.75" hidden="false" customHeight="true" outlineLevel="0" collapsed="false">
      <c r="A6" s="12" t="s">
        <v>80</v>
      </c>
      <c r="B6" s="26" t="s">
        <v>99</v>
      </c>
      <c r="C6" s="27" t="s">
        <v>100</v>
      </c>
      <c r="D6" s="27" t="s">
        <v>101</v>
      </c>
      <c r="E6" s="27" t="s">
        <v>102</v>
      </c>
      <c r="F6" s="26" t="s">
        <v>103</v>
      </c>
      <c r="G6" s="27" t="s">
        <v>104</v>
      </c>
      <c r="H6" s="27" t="s">
        <v>105</v>
      </c>
      <c r="I6" s="27" t="s">
        <v>106</v>
      </c>
      <c r="J6" s="27" t="s">
        <v>107</v>
      </c>
    </row>
    <row r="7" customFormat="false" ht="45.75" hidden="false" customHeight="true" outlineLevel="0" collapsed="false">
      <c r="A7" s="12" t="s">
        <v>80</v>
      </c>
      <c r="B7" s="26" t="s">
        <v>108</v>
      </c>
      <c r="C7" s="27" t="s">
        <v>109</v>
      </c>
      <c r="D7" s="27" t="s">
        <v>110</v>
      </c>
      <c r="E7" s="26" t="s">
        <v>111</v>
      </c>
      <c r="F7" s="26" t="s">
        <v>112</v>
      </c>
      <c r="G7" s="27" t="s">
        <v>113</v>
      </c>
      <c r="H7" s="27" t="s">
        <v>96</v>
      </c>
      <c r="I7" s="26" t="s">
        <v>114</v>
      </c>
      <c r="J7" s="27" t="s">
        <v>115</v>
      </c>
    </row>
    <row r="8" customFormat="false" ht="45.75" hidden="false" customHeight="true" outlineLevel="0" collapsed="false">
      <c r="A8" s="12" t="s">
        <v>80</v>
      </c>
      <c r="B8" s="26" t="s">
        <v>116</v>
      </c>
      <c r="C8" s="27" t="s">
        <v>117</v>
      </c>
      <c r="D8" s="27" t="s">
        <v>118</v>
      </c>
      <c r="E8" s="27" t="s">
        <v>119</v>
      </c>
      <c r="F8" s="26" t="s">
        <v>120</v>
      </c>
      <c r="G8" s="27" t="s">
        <v>121</v>
      </c>
      <c r="H8" s="27" t="s">
        <v>122</v>
      </c>
      <c r="I8" s="27" t="s">
        <v>123</v>
      </c>
      <c r="J8" s="26" t="s">
        <v>124</v>
      </c>
    </row>
    <row r="9" customFormat="false" ht="45.75" hidden="false" customHeight="true" outlineLevel="0" collapsed="false">
      <c r="A9" s="12" t="s">
        <v>80</v>
      </c>
      <c r="B9" s="26" t="s">
        <v>125</v>
      </c>
      <c r="C9" s="27" t="s">
        <v>126</v>
      </c>
      <c r="D9" s="27" t="s">
        <v>118</v>
      </c>
      <c r="E9" s="27" t="s">
        <v>127</v>
      </c>
      <c r="F9" s="26" t="s">
        <v>128</v>
      </c>
      <c r="G9" s="27" t="s">
        <v>129</v>
      </c>
      <c r="H9" s="27" t="s">
        <v>130</v>
      </c>
      <c r="I9" s="27" t="s">
        <v>131</v>
      </c>
      <c r="J9" s="26" t="s">
        <v>132</v>
      </c>
    </row>
    <row r="10" customFormat="false" ht="45.75" hidden="false" customHeight="true" outlineLevel="0" collapsed="false">
      <c r="A10" s="13" t="s">
        <v>133</v>
      </c>
      <c r="B10" s="28" t="s">
        <v>134</v>
      </c>
      <c r="C10" s="29" t="s">
        <v>135</v>
      </c>
      <c r="D10" s="29" t="s">
        <v>136</v>
      </c>
      <c r="E10" s="29" t="s">
        <v>137</v>
      </c>
      <c r="F10" s="29" t="s">
        <v>138</v>
      </c>
      <c r="G10" s="29" t="s">
        <v>139</v>
      </c>
      <c r="H10" s="29" t="s">
        <v>140</v>
      </c>
      <c r="I10" s="29" t="s">
        <v>141</v>
      </c>
      <c r="J10" s="29" t="s">
        <v>142</v>
      </c>
    </row>
    <row r="11" customFormat="false" ht="45.75" hidden="false" customHeight="true" outlineLevel="0" collapsed="false">
      <c r="A11" s="13" t="s">
        <v>133</v>
      </c>
      <c r="B11" s="28" t="s">
        <v>143</v>
      </c>
      <c r="C11" s="29" t="s">
        <v>144</v>
      </c>
      <c r="D11" s="29" t="s">
        <v>145</v>
      </c>
      <c r="E11" s="29" t="s">
        <v>146</v>
      </c>
      <c r="F11" s="28" t="s">
        <v>147</v>
      </c>
      <c r="G11" s="29" t="s">
        <v>96</v>
      </c>
      <c r="H11" s="29" t="s">
        <v>96</v>
      </c>
      <c r="I11" s="29" t="s">
        <v>148</v>
      </c>
      <c r="J11" s="28" t="s">
        <v>149</v>
      </c>
    </row>
    <row r="12" customFormat="false" ht="45.75" hidden="false" customHeight="true" outlineLevel="0" collapsed="false">
      <c r="A12" s="13" t="s">
        <v>133</v>
      </c>
      <c r="B12" s="28" t="s">
        <v>150</v>
      </c>
      <c r="C12" s="29" t="s">
        <v>151</v>
      </c>
      <c r="D12" s="28" t="s">
        <v>152</v>
      </c>
      <c r="E12" s="29" t="s">
        <v>153</v>
      </c>
      <c r="F12" s="28" t="s">
        <v>154</v>
      </c>
      <c r="G12" s="29" t="s">
        <v>155</v>
      </c>
      <c r="H12" s="29" t="s">
        <v>130</v>
      </c>
      <c r="I12" s="28" t="s">
        <v>156</v>
      </c>
      <c r="J12" s="29" t="s">
        <v>157</v>
      </c>
    </row>
    <row r="13" customFormat="false" ht="45.75" hidden="false" customHeight="true" outlineLevel="0" collapsed="false">
      <c r="A13" s="13" t="s">
        <v>133</v>
      </c>
      <c r="B13" s="28" t="s">
        <v>158</v>
      </c>
      <c r="C13" s="29" t="s">
        <v>159</v>
      </c>
      <c r="D13" s="29" t="s">
        <v>118</v>
      </c>
      <c r="E13" s="29" t="s">
        <v>160</v>
      </c>
      <c r="F13" s="29" t="s">
        <v>161</v>
      </c>
      <c r="G13" s="29" t="s">
        <v>162</v>
      </c>
      <c r="H13" s="29" t="s">
        <v>96</v>
      </c>
      <c r="I13" s="29" t="s">
        <v>163</v>
      </c>
      <c r="J13" s="28" t="s">
        <v>164</v>
      </c>
    </row>
    <row r="14" customFormat="false" ht="45.75" hidden="false" customHeight="true" outlineLevel="0" collapsed="false">
      <c r="A14" s="13" t="s">
        <v>133</v>
      </c>
      <c r="B14" s="28" t="s">
        <v>165</v>
      </c>
      <c r="C14" s="29" t="s">
        <v>166</v>
      </c>
      <c r="D14" s="29" t="s">
        <v>167</v>
      </c>
      <c r="E14" s="28" t="s">
        <v>168</v>
      </c>
      <c r="F14" s="29" t="s">
        <v>169</v>
      </c>
      <c r="G14" s="29" t="s">
        <v>170</v>
      </c>
      <c r="H14" s="29" t="s">
        <v>171</v>
      </c>
      <c r="I14" s="29" t="s">
        <v>172</v>
      </c>
      <c r="J14" s="29" t="s">
        <v>173</v>
      </c>
    </row>
    <row r="15" customFormat="false" ht="45.75" hidden="false" customHeight="true" outlineLevel="0" collapsed="false">
      <c r="A15" s="13" t="s">
        <v>133</v>
      </c>
      <c r="B15" s="28" t="s">
        <v>174</v>
      </c>
      <c r="C15" s="29" t="s">
        <v>175</v>
      </c>
      <c r="D15" s="29" t="s">
        <v>176</v>
      </c>
      <c r="E15" s="29" t="s">
        <v>177</v>
      </c>
      <c r="F15" s="29" t="s">
        <v>178</v>
      </c>
      <c r="G15" s="29" t="s">
        <v>179</v>
      </c>
      <c r="H15" s="29" t="s">
        <v>180</v>
      </c>
      <c r="I15" s="29" t="s">
        <v>181</v>
      </c>
      <c r="J15" s="29" t="s">
        <v>182</v>
      </c>
    </row>
    <row r="16" customFormat="false" ht="45.75" hidden="false" customHeight="true" outlineLevel="0" collapsed="false">
      <c r="A16" s="13" t="s">
        <v>133</v>
      </c>
      <c r="B16" s="28" t="s">
        <v>183</v>
      </c>
      <c r="C16" s="29" t="s">
        <v>184</v>
      </c>
      <c r="D16" s="29" t="s">
        <v>176</v>
      </c>
      <c r="E16" s="29" t="s">
        <v>185</v>
      </c>
      <c r="F16" s="29" t="s">
        <v>186</v>
      </c>
      <c r="G16" s="29" t="s">
        <v>187</v>
      </c>
      <c r="H16" s="29" t="s">
        <v>188</v>
      </c>
      <c r="I16" s="29" t="s">
        <v>189</v>
      </c>
      <c r="J16" s="29" t="s">
        <v>190</v>
      </c>
    </row>
    <row r="17" customFormat="false" ht="45.75" hidden="false" customHeight="true" outlineLevel="0" collapsed="false">
      <c r="A17" s="13" t="s">
        <v>133</v>
      </c>
      <c r="B17" s="28" t="s">
        <v>191</v>
      </c>
      <c r="C17" s="29" t="s">
        <v>192</v>
      </c>
      <c r="D17" s="29" t="s">
        <v>167</v>
      </c>
      <c r="E17" s="29" t="s">
        <v>193</v>
      </c>
      <c r="F17" s="29" t="s">
        <v>194</v>
      </c>
      <c r="G17" s="29" t="s">
        <v>96</v>
      </c>
      <c r="H17" s="29" t="s">
        <v>96</v>
      </c>
      <c r="I17" s="29" t="s">
        <v>195</v>
      </c>
      <c r="J17" s="29" t="s">
        <v>196</v>
      </c>
    </row>
    <row r="18" customFormat="false" ht="45.75" hidden="false" customHeight="true" outlineLevel="0" collapsed="false">
      <c r="A18" s="13" t="s">
        <v>133</v>
      </c>
      <c r="B18" s="28" t="s">
        <v>197</v>
      </c>
      <c r="C18" s="29" t="s">
        <v>198</v>
      </c>
      <c r="D18" s="28" t="s">
        <v>199</v>
      </c>
      <c r="E18" s="28" t="s">
        <v>200</v>
      </c>
      <c r="F18" s="29" t="s">
        <v>201</v>
      </c>
      <c r="G18" s="29" t="s">
        <v>202</v>
      </c>
      <c r="H18" s="29" t="s">
        <v>203</v>
      </c>
      <c r="I18" s="28" t="s">
        <v>204</v>
      </c>
      <c r="J18" s="28" t="s">
        <v>205</v>
      </c>
    </row>
    <row r="19" customFormat="false" ht="45.75" hidden="false" customHeight="true" outlineLevel="0" collapsed="false">
      <c r="A19" s="13" t="s">
        <v>133</v>
      </c>
      <c r="B19" s="28" t="s">
        <v>206</v>
      </c>
      <c r="C19" s="29" t="s">
        <v>207</v>
      </c>
      <c r="D19" s="29" t="s">
        <v>101</v>
      </c>
      <c r="E19" s="29" t="s">
        <v>208</v>
      </c>
      <c r="F19" s="29" t="s">
        <v>209</v>
      </c>
      <c r="G19" s="29" t="s">
        <v>96</v>
      </c>
      <c r="H19" s="29" t="s">
        <v>96</v>
      </c>
      <c r="I19" s="29" t="s">
        <v>210</v>
      </c>
      <c r="J19" s="29" t="s">
        <v>211</v>
      </c>
    </row>
    <row r="20" customFormat="false" ht="45.75" hidden="false" customHeight="true" outlineLevel="0" collapsed="false">
      <c r="A20" s="13" t="s">
        <v>133</v>
      </c>
      <c r="B20" s="28" t="s">
        <v>212</v>
      </c>
      <c r="C20" s="29" t="s">
        <v>213</v>
      </c>
      <c r="D20" s="28" t="s">
        <v>214</v>
      </c>
      <c r="E20" s="29" t="s">
        <v>215</v>
      </c>
      <c r="F20" s="29" t="s">
        <v>216</v>
      </c>
      <c r="G20" s="29" t="s">
        <v>96</v>
      </c>
      <c r="H20" s="29" t="s">
        <v>96</v>
      </c>
      <c r="I20" s="29" t="s">
        <v>96</v>
      </c>
      <c r="J20" s="29" t="s">
        <v>196</v>
      </c>
    </row>
    <row r="21" customFormat="false" ht="45.75" hidden="false" customHeight="true" outlineLevel="0" collapsed="false">
      <c r="A21" s="13" t="s">
        <v>133</v>
      </c>
      <c r="B21" s="28" t="s">
        <v>217</v>
      </c>
      <c r="C21" s="29" t="s">
        <v>218</v>
      </c>
      <c r="D21" s="29" t="s">
        <v>167</v>
      </c>
      <c r="E21" s="29" t="s">
        <v>219</v>
      </c>
      <c r="F21" s="29" t="s">
        <v>220</v>
      </c>
      <c r="G21" s="29" t="s">
        <v>96</v>
      </c>
      <c r="H21" s="29" t="s">
        <v>96</v>
      </c>
      <c r="I21" s="29" t="s">
        <v>96</v>
      </c>
      <c r="J21" s="29" t="s">
        <v>196</v>
      </c>
    </row>
    <row r="22" customFormat="false" ht="45.75" hidden="false" customHeight="true" outlineLevel="0" collapsed="false">
      <c r="A22" s="13" t="s">
        <v>133</v>
      </c>
      <c r="B22" s="28" t="s">
        <v>221</v>
      </c>
      <c r="C22" s="29" t="s">
        <v>222</v>
      </c>
      <c r="D22" s="28" t="s">
        <v>199</v>
      </c>
      <c r="E22" s="29" t="s">
        <v>223</v>
      </c>
      <c r="F22" s="28" t="s">
        <v>224</v>
      </c>
      <c r="G22" s="29" t="s">
        <v>96</v>
      </c>
      <c r="H22" s="29" t="s">
        <v>203</v>
      </c>
      <c r="I22" s="29" t="s">
        <v>225</v>
      </c>
      <c r="J22" s="29" t="s">
        <v>196</v>
      </c>
    </row>
    <row r="23" customFormat="false" ht="30" hidden="false" customHeight="true" outlineLevel="0" collapsed="false">
      <c r="A23" s="30" t="s">
        <v>226</v>
      </c>
      <c r="B23" s="31" t="s">
        <v>227</v>
      </c>
      <c r="C23" s="32" t="s">
        <v>228</v>
      </c>
      <c r="D23" s="32" t="s">
        <v>167</v>
      </c>
      <c r="E23" s="32" t="s">
        <v>229</v>
      </c>
      <c r="F23" s="32" t="s">
        <v>230</v>
      </c>
      <c r="G23" s="32" t="s">
        <v>96</v>
      </c>
      <c r="H23" s="32" t="s">
        <v>96</v>
      </c>
      <c r="I23" s="32" t="s">
        <v>96</v>
      </c>
      <c r="J23" s="32" t="s">
        <v>231</v>
      </c>
    </row>
    <row r="24" customFormat="false" ht="30" hidden="false" customHeight="true" outlineLevel="0" collapsed="false">
      <c r="A24" s="30" t="s">
        <v>226</v>
      </c>
      <c r="B24" s="33" t="s">
        <v>232</v>
      </c>
      <c r="C24" s="34" t="s">
        <v>233</v>
      </c>
      <c r="D24" s="34" t="s">
        <v>234</v>
      </c>
      <c r="E24" s="34" t="s">
        <v>229</v>
      </c>
      <c r="F24" s="34" t="s">
        <v>235</v>
      </c>
      <c r="G24" s="34" t="s">
        <v>96</v>
      </c>
      <c r="H24" s="34" t="s">
        <v>96</v>
      </c>
      <c r="I24" s="34" t="s">
        <v>236</v>
      </c>
      <c r="J24" s="34" t="s">
        <v>231</v>
      </c>
    </row>
    <row r="25" customFormat="false" ht="30" hidden="false" customHeight="true" outlineLevel="0" collapsed="false">
      <c r="A25" s="30" t="s">
        <v>226</v>
      </c>
      <c r="B25" s="31" t="s">
        <v>237</v>
      </c>
      <c r="C25" s="32" t="s">
        <v>238</v>
      </c>
      <c r="D25" s="31" t="s">
        <v>214</v>
      </c>
      <c r="E25" s="32" t="s">
        <v>229</v>
      </c>
      <c r="F25" s="32" t="s">
        <v>239</v>
      </c>
      <c r="G25" s="32" t="s">
        <v>96</v>
      </c>
      <c r="H25" s="32" t="s">
        <v>96</v>
      </c>
      <c r="I25" s="32" t="s">
        <v>96</v>
      </c>
      <c r="J25" s="32" t="s">
        <v>231</v>
      </c>
    </row>
    <row r="26" customFormat="false" ht="30" hidden="false" customHeight="true" outlineLevel="0" collapsed="false">
      <c r="A26" s="30" t="s">
        <v>226</v>
      </c>
      <c r="B26" s="33" t="s">
        <v>240</v>
      </c>
      <c r="C26" s="34" t="s">
        <v>241</v>
      </c>
      <c r="D26" s="34" t="s">
        <v>242</v>
      </c>
      <c r="E26" s="34" t="s">
        <v>229</v>
      </c>
      <c r="F26" s="34" t="s">
        <v>243</v>
      </c>
      <c r="G26" s="34" t="s">
        <v>96</v>
      </c>
      <c r="H26" s="34" t="s">
        <v>96</v>
      </c>
      <c r="I26" s="34" t="s">
        <v>244</v>
      </c>
      <c r="J26" s="34" t="s">
        <v>231</v>
      </c>
    </row>
    <row r="27" customFormat="false" ht="30" hidden="false" customHeight="true" outlineLevel="0" collapsed="false">
      <c r="A27" s="30" t="s">
        <v>226</v>
      </c>
      <c r="B27" s="31" t="s">
        <v>245</v>
      </c>
      <c r="C27" s="31" t="s">
        <v>246</v>
      </c>
      <c r="D27" s="32" t="s">
        <v>167</v>
      </c>
      <c r="E27" s="32" t="s">
        <v>229</v>
      </c>
      <c r="F27" s="32" t="s">
        <v>230</v>
      </c>
      <c r="G27" s="32" t="s">
        <v>96</v>
      </c>
      <c r="H27" s="32" t="s">
        <v>96</v>
      </c>
      <c r="I27" s="32" t="s">
        <v>96</v>
      </c>
      <c r="J27" s="32" t="s">
        <v>231</v>
      </c>
    </row>
    <row r="28" customFormat="false" ht="30" hidden="false" customHeight="true" outlineLevel="0" collapsed="false">
      <c r="A28" s="30" t="s">
        <v>226</v>
      </c>
      <c r="B28" s="33" t="s">
        <v>247</v>
      </c>
      <c r="C28" s="34" t="s">
        <v>248</v>
      </c>
      <c r="D28" s="34" t="s">
        <v>145</v>
      </c>
      <c r="E28" s="34" t="s">
        <v>229</v>
      </c>
      <c r="F28" s="33" t="s">
        <v>249</v>
      </c>
      <c r="G28" s="34" t="s">
        <v>96</v>
      </c>
      <c r="H28" s="34" t="s">
        <v>96</v>
      </c>
      <c r="I28" s="34" t="s">
        <v>250</v>
      </c>
      <c r="J28" s="34" t="s">
        <v>231</v>
      </c>
    </row>
    <row r="29" customFormat="false" ht="30" hidden="false" customHeight="true" outlineLevel="0" collapsed="false">
      <c r="A29" s="30" t="s">
        <v>226</v>
      </c>
      <c r="B29" s="31" t="s">
        <v>251</v>
      </c>
      <c r="C29" s="32" t="s">
        <v>252</v>
      </c>
      <c r="D29" s="32" t="s">
        <v>253</v>
      </c>
      <c r="E29" s="32" t="s">
        <v>229</v>
      </c>
      <c r="F29" s="32" t="s">
        <v>254</v>
      </c>
      <c r="G29" s="32" t="s">
        <v>96</v>
      </c>
      <c r="H29" s="32" t="s">
        <v>96</v>
      </c>
      <c r="I29" s="32" t="s">
        <v>255</v>
      </c>
      <c r="J29" s="32" t="s">
        <v>231</v>
      </c>
    </row>
    <row r="30" customFormat="false" ht="30" hidden="false" customHeight="true" outlineLevel="0" collapsed="false">
      <c r="A30" s="30" t="s">
        <v>226</v>
      </c>
      <c r="B30" s="33" t="s">
        <v>256</v>
      </c>
      <c r="C30" s="33" t="s">
        <v>257</v>
      </c>
      <c r="D30" s="34" t="s">
        <v>101</v>
      </c>
      <c r="E30" s="34" t="s">
        <v>229</v>
      </c>
      <c r="F30" s="34" t="s">
        <v>258</v>
      </c>
      <c r="G30" s="34" t="s">
        <v>96</v>
      </c>
      <c r="H30" s="34" t="s">
        <v>96</v>
      </c>
      <c r="I30" s="34" t="s">
        <v>96</v>
      </c>
      <c r="J30" s="34" t="s">
        <v>231</v>
      </c>
    </row>
    <row r="31" customFormat="false" ht="30" hidden="false" customHeight="true" outlineLevel="0" collapsed="false">
      <c r="A31" s="30" t="s">
        <v>226</v>
      </c>
      <c r="B31" s="31" t="s">
        <v>259</v>
      </c>
      <c r="C31" s="32" t="s">
        <v>260</v>
      </c>
      <c r="D31" s="32" t="s">
        <v>167</v>
      </c>
      <c r="E31" s="32" t="s">
        <v>229</v>
      </c>
      <c r="F31" s="32" t="s">
        <v>230</v>
      </c>
      <c r="G31" s="32" t="s">
        <v>96</v>
      </c>
      <c r="H31" s="32" t="s">
        <v>96</v>
      </c>
      <c r="I31" s="32" t="s">
        <v>96</v>
      </c>
      <c r="J31" s="32" t="s">
        <v>231</v>
      </c>
    </row>
    <row r="32" customFormat="false" ht="30" hidden="false" customHeight="true" outlineLevel="0" collapsed="false">
      <c r="A32" s="30" t="s">
        <v>226</v>
      </c>
      <c r="B32" s="33" t="s">
        <v>261</v>
      </c>
      <c r="C32" s="34" t="s">
        <v>262</v>
      </c>
      <c r="D32" s="34" t="s">
        <v>118</v>
      </c>
      <c r="E32" s="34" t="s">
        <v>229</v>
      </c>
      <c r="F32" s="34" t="s">
        <v>263</v>
      </c>
      <c r="G32" s="34" t="s">
        <v>96</v>
      </c>
      <c r="H32" s="34" t="s">
        <v>96</v>
      </c>
      <c r="I32" s="34" t="s">
        <v>264</v>
      </c>
      <c r="J32" s="34" t="s">
        <v>231</v>
      </c>
    </row>
    <row r="33" customFormat="false" ht="30" hidden="false" customHeight="true" outlineLevel="0" collapsed="false">
      <c r="A33" s="30" t="s">
        <v>226</v>
      </c>
      <c r="B33" s="31" t="s">
        <v>265</v>
      </c>
      <c r="C33" s="32" t="s">
        <v>266</v>
      </c>
      <c r="D33" s="32" t="s">
        <v>118</v>
      </c>
      <c r="E33" s="32" t="s">
        <v>229</v>
      </c>
      <c r="F33" s="32" t="s">
        <v>263</v>
      </c>
      <c r="G33" s="32" t="s">
        <v>96</v>
      </c>
      <c r="H33" s="32" t="s">
        <v>96</v>
      </c>
      <c r="I33" s="32" t="s">
        <v>267</v>
      </c>
      <c r="J33" s="32" t="s">
        <v>231</v>
      </c>
    </row>
    <row r="34" customFormat="false" ht="30" hidden="false" customHeight="true" outlineLevel="0" collapsed="false">
      <c r="A34" s="30" t="s">
        <v>226</v>
      </c>
      <c r="B34" s="33" t="s">
        <v>268</v>
      </c>
      <c r="C34" s="34" t="s">
        <v>269</v>
      </c>
      <c r="D34" s="34" t="s">
        <v>167</v>
      </c>
      <c r="E34" s="34" t="s">
        <v>229</v>
      </c>
      <c r="F34" s="34" t="s">
        <v>230</v>
      </c>
      <c r="G34" s="34" t="s">
        <v>96</v>
      </c>
      <c r="H34" s="34" t="s">
        <v>96</v>
      </c>
      <c r="I34" s="34" t="s">
        <v>96</v>
      </c>
      <c r="J34" s="34" t="s">
        <v>231</v>
      </c>
    </row>
    <row r="35" customFormat="false" ht="30" hidden="false" customHeight="true" outlineLevel="0" collapsed="false">
      <c r="A35" s="30" t="s">
        <v>226</v>
      </c>
      <c r="B35" s="31" t="s">
        <v>270</v>
      </c>
      <c r="C35" s="32" t="s">
        <v>271</v>
      </c>
      <c r="D35" s="32" t="s">
        <v>167</v>
      </c>
      <c r="E35" s="32" t="s">
        <v>229</v>
      </c>
      <c r="F35" s="32" t="s">
        <v>230</v>
      </c>
      <c r="G35" s="32" t="s">
        <v>96</v>
      </c>
      <c r="H35" s="32" t="s">
        <v>96</v>
      </c>
      <c r="I35" s="32" t="s">
        <v>96</v>
      </c>
      <c r="J35" s="32" t="s">
        <v>231</v>
      </c>
    </row>
    <row r="36" customFormat="false" ht="30" hidden="false" customHeight="true" outlineLevel="0" collapsed="false">
      <c r="A36" s="30" t="s">
        <v>226</v>
      </c>
      <c r="B36" s="33" t="s">
        <v>272</v>
      </c>
      <c r="C36" s="34" t="s">
        <v>273</v>
      </c>
      <c r="D36" s="34" t="s">
        <v>118</v>
      </c>
      <c r="E36" s="34" t="s">
        <v>229</v>
      </c>
      <c r="F36" s="34" t="s">
        <v>263</v>
      </c>
      <c r="G36" s="34" t="s">
        <v>96</v>
      </c>
      <c r="H36" s="34" t="s">
        <v>96</v>
      </c>
      <c r="I36" s="34" t="s">
        <v>274</v>
      </c>
      <c r="J36" s="34" t="s">
        <v>231</v>
      </c>
    </row>
    <row r="37" customFormat="false" ht="30" hidden="false" customHeight="true" outlineLevel="0" collapsed="false">
      <c r="A37" s="30" t="s">
        <v>226</v>
      </c>
      <c r="B37" s="31" t="s">
        <v>275</v>
      </c>
      <c r="C37" s="32" t="s">
        <v>276</v>
      </c>
      <c r="D37" s="32" t="s">
        <v>167</v>
      </c>
      <c r="E37" s="32" t="s">
        <v>229</v>
      </c>
      <c r="F37" s="32" t="s">
        <v>230</v>
      </c>
      <c r="G37" s="32" t="s">
        <v>96</v>
      </c>
      <c r="H37" s="32" t="s">
        <v>96</v>
      </c>
      <c r="I37" s="32" t="s">
        <v>96</v>
      </c>
      <c r="J37" s="32" t="s">
        <v>231</v>
      </c>
    </row>
    <row r="38" customFormat="false" ht="30" hidden="false" customHeight="true" outlineLevel="0" collapsed="false">
      <c r="A38" s="30" t="s">
        <v>226</v>
      </c>
      <c r="B38" s="33" t="s">
        <v>277</v>
      </c>
      <c r="C38" s="33" t="s">
        <v>278</v>
      </c>
      <c r="D38" s="34" t="s">
        <v>253</v>
      </c>
      <c r="E38" s="34" t="s">
        <v>229</v>
      </c>
      <c r="F38" s="34" t="s">
        <v>254</v>
      </c>
      <c r="G38" s="34" t="s">
        <v>96</v>
      </c>
      <c r="H38" s="34" t="s">
        <v>96</v>
      </c>
      <c r="I38" s="34" t="s">
        <v>279</v>
      </c>
      <c r="J38" s="34" t="s">
        <v>231</v>
      </c>
    </row>
    <row r="39" customFormat="false" ht="30" hidden="false" customHeight="true" outlineLevel="0" collapsed="false">
      <c r="A39" s="30" t="s">
        <v>226</v>
      </c>
      <c r="B39" s="31" t="s">
        <v>280</v>
      </c>
      <c r="C39" s="32" t="s">
        <v>281</v>
      </c>
      <c r="D39" s="32" t="s">
        <v>167</v>
      </c>
      <c r="E39" s="32" t="s">
        <v>229</v>
      </c>
      <c r="F39" s="32" t="s">
        <v>230</v>
      </c>
      <c r="G39" s="32" t="s">
        <v>96</v>
      </c>
      <c r="H39" s="32" t="s">
        <v>96</v>
      </c>
      <c r="I39" s="32" t="s">
        <v>96</v>
      </c>
      <c r="J39" s="32" t="s">
        <v>231</v>
      </c>
    </row>
    <row r="40" customFormat="false" ht="30" hidden="false" customHeight="true" outlineLevel="0" collapsed="false">
      <c r="A40" s="30" t="s">
        <v>226</v>
      </c>
      <c r="B40" s="33" t="s">
        <v>282</v>
      </c>
      <c r="C40" s="34" t="s">
        <v>283</v>
      </c>
      <c r="D40" s="34" t="s">
        <v>167</v>
      </c>
      <c r="E40" s="34" t="s">
        <v>229</v>
      </c>
      <c r="F40" s="34" t="s">
        <v>230</v>
      </c>
      <c r="G40" s="34" t="s">
        <v>96</v>
      </c>
      <c r="H40" s="34" t="s">
        <v>96</v>
      </c>
      <c r="I40" s="34" t="s">
        <v>96</v>
      </c>
      <c r="J40" s="34" t="s">
        <v>231</v>
      </c>
    </row>
    <row r="41" customFormat="false" ht="30" hidden="false" customHeight="true" outlineLevel="0" collapsed="false">
      <c r="A41" s="30" t="s">
        <v>226</v>
      </c>
      <c r="B41" s="31" t="s">
        <v>284</v>
      </c>
      <c r="C41" s="32" t="s">
        <v>285</v>
      </c>
      <c r="D41" s="32" t="s">
        <v>286</v>
      </c>
      <c r="E41" s="32" t="s">
        <v>229</v>
      </c>
      <c r="F41" s="32" t="s">
        <v>287</v>
      </c>
      <c r="G41" s="32" t="s">
        <v>96</v>
      </c>
      <c r="H41" s="32" t="s">
        <v>96</v>
      </c>
      <c r="I41" s="31" t="s">
        <v>288</v>
      </c>
      <c r="J41" s="32" t="s">
        <v>231</v>
      </c>
    </row>
    <row r="42" customFormat="false" ht="30" hidden="false" customHeight="true" outlineLevel="0" collapsed="false">
      <c r="A42" s="30" t="s">
        <v>226</v>
      </c>
      <c r="B42" s="33" t="s">
        <v>289</v>
      </c>
      <c r="C42" s="34" t="s">
        <v>290</v>
      </c>
      <c r="D42" s="34" t="s">
        <v>101</v>
      </c>
      <c r="E42" s="34" t="s">
        <v>229</v>
      </c>
      <c r="F42" s="34" t="s">
        <v>258</v>
      </c>
      <c r="G42" s="34" t="s">
        <v>96</v>
      </c>
      <c r="H42" s="34" t="s">
        <v>96</v>
      </c>
      <c r="I42" s="34" t="s">
        <v>96</v>
      </c>
      <c r="J42" s="34" t="s">
        <v>231</v>
      </c>
    </row>
    <row r="43" customFormat="false" ht="30" hidden="false" customHeight="true" outlineLevel="0" collapsed="false">
      <c r="A43" s="30" t="s">
        <v>226</v>
      </c>
      <c r="B43" s="31" t="s">
        <v>291</v>
      </c>
      <c r="C43" s="31" t="s">
        <v>292</v>
      </c>
      <c r="D43" s="32" t="s">
        <v>167</v>
      </c>
      <c r="E43" s="32" t="s">
        <v>229</v>
      </c>
      <c r="F43" s="32" t="s">
        <v>230</v>
      </c>
      <c r="G43" s="32" t="s">
        <v>96</v>
      </c>
      <c r="H43" s="32" t="s">
        <v>96</v>
      </c>
      <c r="I43" s="32" t="s">
        <v>293</v>
      </c>
      <c r="J43" s="32" t="s">
        <v>294</v>
      </c>
    </row>
    <row r="44" customFormat="false" ht="30" hidden="false" customHeight="true" outlineLevel="0" collapsed="false">
      <c r="A44" s="30" t="s">
        <v>226</v>
      </c>
      <c r="B44" s="33" t="s">
        <v>295</v>
      </c>
      <c r="C44" s="34" t="s">
        <v>296</v>
      </c>
      <c r="D44" s="34" t="s">
        <v>167</v>
      </c>
      <c r="E44" s="34" t="s">
        <v>229</v>
      </c>
      <c r="F44" s="34" t="s">
        <v>230</v>
      </c>
      <c r="G44" s="34" t="s">
        <v>96</v>
      </c>
      <c r="H44" s="34" t="s">
        <v>96</v>
      </c>
      <c r="I44" s="34" t="s">
        <v>96</v>
      </c>
      <c r="J44" s="34" t="s">
        <v>231</v>
      </c>
    </row>
    <row r="45" customFormat="false" ht="30" hidden="false" customHeight="true" outlineLevel="0" collapsed="false">
      <c r="A45" s="30" t="s">
        <v>226</v>
      </c>
      <c r="B45" s="31" t="s">
        <v>297</v>
      </c>
      <c r="C45" s="32" t="s">
        <v>298</v>
      </c>
      <c r="D45" s="32" t="s">
        <v>167</v>
      </c>
      <c r="E45" s="32" t="s">
        <v>229</v>
      </c>
      <c r="F45" s="32" t="s">
        <v>230</v>
      </c>
      <c r="G45" s="32" t="s">
        <v>96</v>
      </c>
      <c r="H45" s="32" t="s">
        <v>96</v>
      </c>
      <c r="I45" s="32" t="s">
        <v>96</v>
      </c>
      <c r="J45" s="32" t="s">
        <v>231</v>
      </c>
    </row>
    <row r="46" customFormat="false" ht="30" hidden="false" customHeight="true" outlineLevel="0" collapsed="false">
      <c r="A46" s="30" t="s">
        <v>226</v>
      </c>
      <c r="B46" s="33" t="s">
        <v>299</v>
      </c>
      <c r="C46" s="33" t="s">
        <v>300</v>
      </c>
      <c r="D46" s="33" t="s">
        <v>214</v>
      </c>
      <c r="E46" s="34" t="s">
        <v>229</v>
      </c>
      <c r="F46" s="34" t="s">
        <v>239</v>
      </c>
      <c r="G46" s="34" t="s">
        <v>96</v>
      </c>
      <c r="H46" s="34" t="s">
        <v>96</v>
      </c>
      <c r="I46" s="34" t="s">
        <v>301</v>
      </c>
      <c r="J46" s="34" t="s">
        <v>231</v>
      </c>
    </row>
    <row r="47" customFormat="false" ht="30" hidden="false" customHeight="true" outlineLevel="0" collapsed="false">
      <c r="A47" s="30" t="s">
        <v>226</v>
      </c>
      <c r="B47" s="31" t="s">
        <v>302</v>
      </c>
      <c r="C47" s="32" t="s">
        <v>303</v>
      </c>
      <c r="D47" s="31" t="s">
        <v>152</v>
      </c>
      <c r="E47" s="32" t="s">
        <v>229</v>
      </c>
      <c r="F47" s="32" t="s">
        <v>304</v>
      </c>
      <c r="G47" s="32" t="s">
        <v>96</v>
      </c>
      <c r="H47" s="32" t="s">
        <v>96</v>
      </c>
      <c r="I47" s="32" t="s">
        <v>96</v>
      </c>
      <c r="J47" s="32" t="s">
        <v>231</v>
      </c>
    </row>
    <row r="48" customFormat="false" ht="30" hidden="false" customHeight="true" outlineLevel="0" collapsed="false">
      <c r="A48" s="30" t="s">
        <v>226</v>
      </c>
      <c r="B48" s="33" t="s">
        <v>305</v>
      </c>
      <c r="C48" s="34" t="s">
        <v>306</v>
      </c>
      <c r="D48" s="34" t="s">
        <v>118</v>
      </c>
      <c r="E48" s="34" t="s">
        <v>229</v>
      </c>
      <c r="F48" s="34" t="s">
        <v>263</v>
      </c>
      <c r="G48" s="34" t="s">
        <v>96</v>
      </c>
      <c r="H48" s="34" t="s">
        <v>96</v>
      </c>
      <c r="I48" s="34" t="s">
        <v>307</v>
      </c>
      <c r="J48" s="34" t="s">
        <v>231</v>
      </c>
    </row>
    <row r="49" customFormat="false" ht="30" hidden="false" customHeight="true" outlineLevel="0" collapsed="false">
      <c r="A49" s="30" t="s">
        <v>226</v>
      </c>
      <c r="B49" s="31" t="s">
        <v>308</v>
      </c>
      <c r="C49" s="32" t="s">
        <v>309</v>
      </c>
      <c r="D49" s="31" t="s">
        <v>214</v>
      </c>
      <c r="E49" s="32" t="s">
        <v>229</v>
      </c>
      <c r="F49" s="32" t="s">
        <v>239</v>
      </c>
      <c r="G49" s="32" t="s">
        <v>96</v>
      </c>
      <c r="H49" s="32" t="s">
        <v>96</v>
      </c>
      <c r="I49" s="32" t="s">
        <v>96</v>
      </c>
      <c r="J49" s="32" t="s">
        <v>231</v>
      </c>
    </row>
    <row r="50" customFormat="false" ht="30" hidden="false" customHeight="true" outlineLevel="0" collapsed="false">
      <c r="A50" s="30" t="s">
        <v>226</v>
      </c>
      <c r="B50" s="33" t="s">
        <v>310</v>
      </c>
      <c r="C50" s="34" t="s">
        <v>311</v>
      </c>
      <c r="D50" s="34" t="s">
        <v>167</v>
      </c>
      <c r="E50" s="34" t="s">
        <v>229</v>
      </c>
      <c r="F50" s="34" t="s">
        <v>230</v>
      </c>
      <c r="G50" s="34" t="s">
        <v>96</v>
      </c>
      <c r="H50" s="34" t="s">
        <v>96</v>
      </c>
      <c r="I50" s="34" t="s">
        <v>96</v>
      </c>
      <c r="J50" s="34" t="s">
        <v>231</v>
      </c>
    </row>
    <row r="51" customFormat="false" ht="30" hidden="false" customHeight="true" outlineLevel="0" collapsed="false">
      <c r="A51" s="30" t="s">
        <v>226</v>
      </c>
      <c r="B51" s="31" t="s">
        <v>312</v>
      </c>
      <c r="C51" s="32" t="s">
        <v>313</v>
      </c>
      <c r="D51" s="32" t="s">
        <v>167</v>
      </c>
      <c r="E51" s="32" t="s">
        <v>229</v>
      </c>
      <c r="F51" s="32" t="s">
        <v>230</v>
      </c>
      <c r="G51" s="32" t="s">
        <v>96</v>
      </c>
      <c r="H51" s="32" t="s">
        <v>96</v>
      </c>
      <c r="I51" s="32" t="s">
        <v>96</v>
      </c>
      <c r="J51" s="32" t="s">
        <v>231</v>
      </c>
    </row>
    <row r="52" customFormat="false" ht="30" hidden="false" customHeight="true" outlineLevel="0" collapsed="false">
      <c r="A52" s="30" t="s">
        <v>226</v>
      </c>
      <c r="B52" s="33" t="s">
        <v>314</v>
      </c>
      <c r="C52" s="34" t="s">
        <v>315</v>
      </c>
      <c r="D52" s="34" t="s">
        <v>118</v>
      </c>
      <c r="E52" s="34" t="s">
        <v>229</v>
      </c>
      <c r="F52" s="34" t="s">
        <v>263</v>
      </c>
      <c r="G52" s="34" t="s">
        <v>96</v>
      </c>
      <c r="H52" s="34" t="s">
        <v>96</v>
      </c>
      <c r="I52" s="34" t="s">
        <v>316</v>
      </c>
      <c r="J52" s="34" t="s">
        <v>231</v>
      </c>
    </row>
    <row r="53" customFormat="false" ht="30" hidden="false" customHeight="true" outlineLevel="0" collapsed="false">
      <c r="A53" s="30" t="s">
        <v>226</v>
      </c>
      <c r="B53" s="31" t="s">
        <v>317</v>
      </c>
      <c r="C53" s="32" t="s">
        <v>318</v>
      </c>
      <c r="D53" s="32" t="s">
        <v>167</v>
      </c>
      <c r="E53" s="32" t="s">
        <v>229</v>
      </c>
      <c r="F53" s="32" t="s">
        <v>230</v>
      </c>
      <c r="G53" s="32" t="s">
        <v>96</v>
      </c>
      <c r="H53" s="32" t="s">
        <v>96</v>
      </c>
      <c r="I53" s="32" t="s">
        <v>96</v>
      </c>
      <c r="J53" s="32" t="s">
        <v>231</v>
      </c>
    </row>
    <row r="54" customFormat="false" ht="30" hidden="false" customHeight="true" outlineLevel="0" collapsed="false">
      <c r="A54" s="30" t="s">
        <v>226</v>
      </c>
      <c r="B54" s="33" t="s">
        <v>291</v>
      </c>
      <c r="C54" s="33" t="s">
        <v>319</v>
      </c>
      <c r="D54" s="34" t="s">
        <v>167</v>
      </c>
      <c r="E54" s="34" t="s">
        <v>229</v>
      </c>
      <c r="F54" s="34" t="s">
        <v>230</v>
      </c>
      <c r="G54" s="34" t="s">
        <v>96</v>
      </c>
      <c r="H54" s="34" t="s">
        <v>96</v>
      </c>
      <c r="I54" s="34" t="s">
        <v>96</v>
      </c>
      <c r="J54" s="34" t="s">
        <v>320</v>
      </c>
    </row>
    <row r="55" customFormat="false" ht="30" hidden="false" customHeight="true" outlineLevel="0" collapsed="false">
      <c r="A55" s="30" t="s">
        <v>226</v>
      </c>
      <c r="B55" s="31" t="s">
        <v>321</v>
      </c>
      <c r="C55" s="32" t="s">
        <v>322</v>
      </c>
      <c r="D55" s="32" t="s">
        <v>145</v>
      </c>
      <c r="E55" s="32" t="s">
        <v>229</v>
      </c>
      <c r="F55" s="31" t="s">
        <v>249</v>
      </c>
      <c r="G55" s="32" t="s">
        <v>96</v>
      </c>
      <c r="H55" s="32" t="s">
        <v>96</v>
      </c>
      <c r="I55" s="32" t="s">
        <v>96</v>
      </c>
      <c r="J55" s="32" t="s">
        <v>231</v>
      </c>
    </row>
    <row r="56" customFormat="false" ht="30" hidden="false" customHeight="true" outlineLevel="0" collapsed="false">
      <c r="A56" s="30" t="s">
        <v>226</v>
      </c>
      <c r="B56" s="33" t="s">
        <v>323</v>
      </c>
      <c r="C56" s="34" t="s">
        <v>324</v>
      </c>
      <c r="D56" s="34" t="s">
        <v>234</v>
      </c>
      <c r="E56" s="34" t="s">
        <v>229</v>
      </c>
      <c r="F56" s="34" t="s">
        <v>235</v>
      </c>
      <c r="G56" s="34" t="s">
        <v>96</v>
      </c>
      <c r="H56" s="34" t="s">
        <v>96</v>
      </c>
      <c r="I56" s="34" t="s">
        <v>236</v>
      </c>
      <c r="J56" s="34" t="s">
        <v>231</v>
      </c>
    </row>
    <row r="57" customFormat="false" ht="30" hidden="false" customHeight="true" outlineLevel="0" collapsed="false">
      <c r="A57" s="30" t="s">
        <v>226</v>
      </c>
      <c r="B57" s="31" t="s">
        <v>325</v>
      </c>
      <c r="C57" s="32" t="s">
        <v>326</v>
      </c>
      <c r="D57" s="32" t="s">
        <v>118</v>
      </c>
      <c r="E57" s="32" t="s">
        <v>229</v>
      </c>
      <c r="F57" s="32" t="s">
        <v>263</v>
      </c>
      <c r="G57" s="32" t="s">
        <v>96</v>
      </c>
      <c r="H57" s="32" t="s">
        <v>96</v>
      </c>
      <c r="I57" s="32" t="s">
        <v>264</v>
      </c>
      <c r="J57" s="32" t="s">
        <v>231</v>
      </c>
    </row>
    <row r="58" customFormat="false" ht="30" hidden="false" customHeight="true" outlineLevel="0" collapsed="false">
      <c r="A58" s="30" t="s">
        <v>226</v>
      </c>
      <c r="B58" s="33" t="s">
        <v>327</v>
      </c>
      <c r="C58" s="34" t="s">
        <v>328</v>
      </c>
      <c r="D58" s="34" t="s">
        <v>167</v>
      </c>
      <c r="E58" s="34" t="s">
        <v>229</v>
      </c>
      <c r="F58" s="34" t="s">
        <v>230</v>
      </c>
      <c r="G58" s="34" t="s">
        <v>96</v>
      </c>
      <c r="H58" s="34" t="s">
        <v>96</v>
      </c>
      <c r="I58" s="34" t="s">
        <v>329</v>
      </c>
      <c r="J58" s="34" t="s">
        <v>231</v>
      </c>
    </row>
    <row r="59" customFormat="false" ht="30" hidden="false" customHeight="true" outlineLevel="0" collapsed="false">
      <c r="A59" s="30" t="s">
        <v>226</v>
      </c>
      <c r="B59" s="31" t="s">
        <v>330</v>
      </c>
      <c r="C59" s="32" t="s">
        <v>331</v>
      </c>
      <c r="D59" s="32" t="s">
        <v>167</v>
      </c>
      <c r="E59" s="32" t="s">
        <v>229</v>
      </c>
      <c r="F59" s="32" t="s">
        <v>230</v>
      </c>
      <c r="G59" s="32" t="s">
        <v>96</v>
      </c>
      <c r="H59" s="32" t="s">
        <v>96</v>
      </c>
      <c r="I59" s="32" t="s">
        <v>96</v>
      </c>
      <c r="J59" s="32" t="s">
        <v>231</v>
      </c>
    </row>
    <row r="60" customFormat="false" ht="30" hidden="false" customHeight="true" outlineLevel="0" collapsed="false">
      <c r="A60" s="30" t="s">
        <v>226</v>
      </c>
      <c r="B60" s="33" t="s">
        <v>332</v>
      </c>
      <c r="C60" s="34" t="s">
        <v>333</v>
      </c>
      <c r="D60" s="34" t="s">
        <v>167</v>
      </c>
      <c r="E60" s="34" t="s">
        <v>229</v>
      </c>
      <c r="F60" s="34" t="s">
        <v>230</v>
      </c>
      <c r="G60" s="34" t="s">
        <v>96</v>
      </c>
      <c r="H60" s="34" t="s">
        <v>96</v>
      </c>
      <c r="I60" s="34" t="s">
        <v>96</v>
      </c>
      <c r="J60" s="34" t="s">
        <v>231</v>
      </c>
    </row>
    <row r="61" customFormat="false" ht="30" hidden="false" customHeight="true" outlineLevel="0" collapsed="false">
      <c r="A61" s="30" t="s">
        <v>226</v>
      </c>
      <c r="B61" s="31" t="s">
        <v>334</v>
      </c>
      <c r="C61" s="31" t="s">
        <v>335</v>
      </c>
      <c r="D61" s="32" t="s">
        <v>336</v>
      </c>
      <c r="E61" s="32" t="s">
        <v>229</v>
      </c>
      <c r="F61" s="32" t="s">
        <v>337</v>
      </c>
      <c r="G61" s="32" t="s">
        <v>96</v>
      </c>
      <c r="H61" s="32" t="s">
        <v>96</v>
      </c>
      <c r="I61" s="32" t="s">
        <v>338</v>
      </c>
      <c r="J61" s="32" t="s">
        <v>231</v>
      </c>
    </row>
    <row r="62" customFormat="false" ht="30" hidden="false" customHeight="true" outlineLevel="0" collapsed="false">
      <c r="A62" s="30" t="s">
        <v>226</v>
      </c>
      <c r="B62" s="33" t="s">
        <v>339</v>
      </c>
      <c r="C62" s="33" t="s">
        <v>340</v>
      </c>
      <c r="D62" s="34" t="s">
        <v>167</v>
      </c>
      <c r="E62" s="34" t="s">
        <v>229</v>
      </c>
      <c r="F62" s="34" t="s">
        <v>230</v>
      </c>
      <c r="G62" s="34" t="s">
        <v>96</v>
      </c>
      <c r="H62" s="34" t="s">
        <v>96</v>
      </c>
      <c r="I62" s="34" t="s">
        <v>96</v>
      </c>
      <c r="J62" s="34" t="s">
        <v>231</v>
      </c>
    </row>
    <row r="63" customFormat="false" ht="30" hidden="false" customHeight="true" outlineLevel="0" collapsed="false">
      <c r="A63" s="30" t="s">
        <v>226</v>
      </c>
      <c r="B63" s="31" t="s">
        <v>341</v>
      </c>
      <c r="C63" s="32" t="s">
        <v>342</v>
      </c>
      <c r="D63" s="31" t="s">
        <v>152</v>
      </c>
      <c r="E63" s="32" t="s">
        <v>229</v>
      </c>
      <c r="F63" s="32" t="s">
        <v>304</v>
      </c>
      <c r="G63" s="32" t="s">
        <v>96</v>
      </c>
      <c r="H63" s="32" t="s">
        <v>96</v>
      </c>
      <c r="I63" s="32" t="s">
        <v>96</v>
      </c>
      <c r="J63" s="32" t="s">
        <v>231</v>
      </c>
    </row>
    <row r="64" customFormat="false" ht="30" hidden="false" customHeight="true" outlineLevel="0" collapsed="false">
      <c r="A64" s="30" t="s">
        <v>226</v>
      </c>
      <c r="B64" s="33" t="s">
        <v>327</v>
      </c>
      <c r="C64" s="34" t="s">
        <v>343</v>
      </c>
      <c r="D64" s="34" t="s">
        <v>118</v>
      </c>
      <c r="E64" s="34" t="s">
        <v>229</v>
      </c>
      <c r="F64" s="34" t="s">
        <v>263</v>
      </c>
      <c r="G64" s="34" t="s">
        <v>96</v>
      </c>
      <c r="H64" s="34" t="s">
        <v>96</v>
      </c>
      <c r="I64" s="34" t="s">
        <v>344</v>
      </c>
      <c r="J64" s="34" t="s">
        <v>231</v>
      </c>
    </row>
    <row r="65" customFormat="false" ht="30" hidden="false" customHeight="true" outlineLevel="0" collapsed="false">
      <c r="A65" s="30" t="s">
        <v>226</v>
      </c>
      <c r="B65" s="31" t="s">
        <v>345</v>
      </c>
      <c r="C65" s="32" t="s">
        <v>346</v>
      </c>
      <c r="D65" s="32" t="s">
        <v>118</v>
      </c>
      <c r="E65" s="32" t="s">
        <v>229</v>
      </c>
      <c r="F65" s="32" t="s">
        <v>263</v>
      </c>
      <c r="G65" s="32" t="s">
        <v>96</v>
      </c>
      <c r="H65" s="32" t="s">
        <v>96</v>
      </c>
      <c r="I65" s="32" t="s">
        <v>347</v>
      </c>
      <c r="J65" s="32" t="s">
        <v>231</v>
      </c>
    </row>
    <row r="66" customFormat="false" ht="30" hidden="false" customHeight="true" outlineLevel="0" collapsed="false">
      <c r="A66" s="30" t="s">
        <v>226</v>
      </c>
      <c r="B66" s="33" t="s">
        <v>348</v>
      </c>
      <c r="C66" s="34" t="s">
        <v>349</v>
      </c>
      <c r="D66" s="34" t="s">
        <v>118</v>
      </c>
      <c r="E66" s="34" t="s">
        <v>229</v>
      </c>
      <c r="F66" s="34" t="s">
        <v>263</v>
      </c>
      <c r="G66" s="34" t="s">
        <v>96</v>
      </c>
      <c r="H66" s="34" t="s">
        <v>96</v>
      </c>
      <c r="I66" s="34" t="s">
        <v>350</v>
      </c>
      <c r="J66" s="34" t="s">
        <v>231</v>
      </c>
    </row>
    <row r="67" customFormat="false" ht="30" hidden="false" customHeight="true" outlineLevel="0" collapsed="false">
      <c r="A67" s="30" t="s">
        <v>226</v>
      </c>
      <c r="B67" s="31" t="s">
        <v>351</v>
      </c>
      <c r="C67" s="32" t="s">
        <v>352</v>
      </c>
      <c r="D67" s="32" t="s">
        <v>101</v>
      </c>
      <c r="E67" s="32" t="s">
        <v>229</v>
      </c>
      <c r="F67" s="32" t="s">
        <v>258</v>
      </c>
      <c r="G67" s="32" t="s">
        <v>96</v>
      </c>
      <c r="H67" s="32" t="s">
        <v>96</v>
      </c>
      <c r="I67" s="32" t="s">
        <v>353</v>
      </c>
      <c r="J67" s="32" t="s">
        <v>231</v>
      </c>
    </row>
    <row r="68" customFormat="false" ht="30" hidden="false" customHeight="true" outlineLevel="0" collapsed="false">
      <c r="A68" s="30" t="s">
        <v>226</v>
      </c>
      <c r="B68" s="33" t="s">
        <v>354</v>
      </c>
      <c r="C68" s="34" t="s">
        <v>355</v>
      </c>
      <c r="D68" s="34" t="s">
        <v>234</v>
      </c>
      <c r="E68" s="34" t="s">
        <v>229</v>
      </c>
      <c r="F68" s="34" t="s">
        <v>235</v>
      </c>
      <c r="G68" s="34" t="s">
        <v>96</v>
      </c>
      <c r="H68" s="34" t="s">
        <v>96</v>
      </c>
      <c r="I68" s="34" t="s">
        <v>356</v>
      </c>
      <c r="J68" s="34" t="s">
        <v>231</v>
      </c>
    </row>
    <row r="69" customFormat="false" ht="30" hidden="false" customHeight="true" outlineLevel="0" collapsed="false">
      <c r="A69" s="30" t="s">
        <v>226</v>
      </c>
      <c r="B69" s="31" t="s">
        <v>357</v>
      </c>
      <c r="C69" s="32" t="s">
        <v>358</v>
      </c>
      <c r="D69" s="32" t="s">
        <v>167</v>
      </c>
      <c r="E69" s="32" t="s">
        <v>229</v>
      </c>
      <c r="F69" s="32" t="s">
        <v>230</v>
      </c>
      <c r="G69" s="32" t="s">
        <v>96</v>
      </c>
      <c r="H69" s="32" t="s">
        <v>96</v>
      </c>
      <c r="I69" s="32" t="s">
        <v>359</v>
      </c>
      <c r="J69" s="32" t="s">
        <v>231</v>
      </c>
    </row>
    <row r="70" customFormat="false" ht="30" hidden="false" customHeight="true" outlineLevel="0" collapsed="false">
      <c r="A70" s="30" t="s">
        <v>226</v>
      </c>
      <c r="B70" s="33" t="s">
        <v>360</v>
      </c>
      <c r="C70" s="33" t="s">
        <v>361</v>
      </c>
      <c r="D70" s="34" t="s">
        <v>167</v>
      </c>
      <c r="E70" s="34" t="s">
        <v>229</v>
      </c>
      <c r="F70" s="34" t="s">
        <v>230</v>
      </c>
      <c r="G70" s="34" t="s">
        <v>96</v>
      </c>
      <c r="H70" s="34" t="s">
        <v>96</v>
      </c>
      <c r="I70" s="34" t="s">
        <v>96</v>
      </c>
      <c r="J70" s="34" t="s">
        <v>231</v>
      </c>
    </row>
    <row r="71" customFormat="false" ht="30" hidden="false" customHeight="true" outlineLevel="0" collapsed="false">
      <c r="A71" s="30" t="s">
        <v>226</v>
      </c>
      <c r="B71" s="31" t="s">
        <v>116</v>
      </c>
      <c r="C71" s="32" t="s">
        <v>362</v>
      </c>
      <c r="D71" s="32" t="s">
        <v>167</v>
      </c>
      <c r="E71" s="32" t="s">
        <v>229</v>
      </c>
      <c r="F71" s="32" t="s">
        <v>230</v>
      </c>
      <c r="G71" s="32" t="s">
        <v>96</v>
      </c>
      <c r="H71" s="32" t="s">
        <v>96</v>
      </c>
      <c r="I71" s="32" t="s">
        <v>363</v>
      </c>
      <c r="J71" s="32" t="s">
        <v>231</v>
      </c>
    </row>
    <row r="72" customFormat="false" ht="30" hidden="false" customHeight="true" outlineLevel="0" collapsed="false">
      <c r="A72" s="30" t="s">
        <v>226</v>
      </c>
      <c r="B72" s="33" t="s">
        <v>364</v>
      </c>
      <c r="C72" s="34" t="s">
        <v>365</v>
      </c>
      <c r="D72" s="34" t="s">
        <v>167</v>
      </c>
      <c r="E72" s="34" t="s">
        <v>229</v>
      </c>
      <c r="F72" s="34" t="s">
        <v>230</v>
      </c>
      <c r="G72" s="34" t="s">
        <v>96</v>
      </c>
      <c r="H72" s="34" t="s">
        <v>96</v>
      </c>
      <c r="I72" s="34" t="s">
        <v>366</v>
      </c>
      <c r="J72" s="34" t="s">
        <v>231</v>
      </c>
    </row>
    <row r="73" customFormat="false" ht="30" hidden="false" customHeight="true" outlineLevel="0" collapsed="false">
      <c r="A73" s="30" t="s">
        <v>226</v>
      </c>
      <c r="B73" s="31" t="s">
        <v>367</v>
      </c>
      <c r="C73" s="32" t="s">
        <v>368</v>
      </c>
      <c r="D73" s="32" t="s">
        <v>253</v>
      </c>
      <c r="E73" s="32" t="s">
        <v>229</v>
      </c>
      <c r="F73" s="32" t="s">
        <v>254</v>
      </c>
      <c r="G73" s="32" t="s">
        <v>96</v>
      </c>
      <c r="H73" s="32" t="s">
        <v>96</v>
      </c>
      <c r="I73" s="32" t="s">
        <v>369</v>
      </c>
      <c r="J73" s="32" t="s">
        <v>231</v>
      </c>
    </row>
    <row r="74" customFormat="false" ht="30" hidden="false" customHeight="true" outlineLevel="0" collapsed="false">
      <c r="A74" s="30" t="s">
        <v>226</v>
      </c>
      <c r="B74" s="33" t="s">
        <v>370</v>
      </c>
      <c r="C74" s="34" t="s">
        <v>371</v>
      </c>
      <c r="D74" s="34" t="s">
        <v>167</v>
      </c>
      <c r="E74" s="34" t="s">
        <v>229</v>
      </c>
      <c r="F74" s="34" t="s">
        <v>230</v>
      </c>
      <c r="G74" s="34" t="s">
        <v>96</v>
      </c>
      <c r="H74" s="34" t="s">
        <v>96</v>
      </c>
      <c r="I74" s="34" t="s">
        <v>372</v>
      </c>
      <c r="J74" s="34" t="s">
        <v>231</v>
      </c>
    </row>
    <row r="75" customFormat="false" ht="30" hidden="false" customHeight="true" outlineLevel="0" collapsed="false">
      <c r="A75" s="30" t="s">
        <v>226</v>
      </c>
      <c r="B75" s="31" t="s">
        <v>373</v>
      </c>
      <c r="C75" s="32" t="s">
        <v>374</v>
      </c>
      <c r="D75" s="32" t="s">
        <v>375</v>
      </c>
      <c r="E75" s="32" t="s">
        <v>229</v>
      </c>
      <c r="F75" s="32" t="s">
        <v>376</v>
      </c>
      <c r="G75" s="32" t="s">
        <v>96</v>
      </c>
      <c r="H75" s="32" t="s">
        <v>96</v>
      </c>
      <c r="I75" s="32" t="s">
        <v>96</v>
      </c>
      <c r="J75" s="32" t="s">
        <v>231</v>
      </c>
    </row>
    <row r="76" customFormat="false" ht="30" hidden="false" customHeight="true" outlineLevel="0" collapsed="false">
      <c r="A76" s="30" t="s">
        <v>226</v>
      </c>
      <c r="B76" s="33" t="s">
        <v>377</v>
      </c>
      <c r="C76" s="34" t="s">
        <v>378</v>
      </c>
      <c r="D76" s="34" t="s">
        <v>234</v>
      </c>
      <c r="E76" s="34" t="s">
        <v>229</v>
      </c>
      <c r="F76" s="34" t="s">
        <v>235</v>
      </c>
      <c r="G76" s="34" t="s">
        <v>96</v>
      </c>
      <c r="H76" s="34" t="s">
        <v>96</v>
      </c>
      <c r="I76" s="34" t="s">
        <v>379</v>
      </c>
      <c r="J76" s="34" t="s">
        <v>231</v>
      </c>
    </row>
    <row r="77" customFormat="false" ht="30" hidden="false" customHeight="true" outlineLevel="0" collapsed="false">
      <c r="A77" s="30" t="s">
        <v>226</v>
      </c>
      <c r="B77" s="31" t="s">
        <v>380</v>
      </c>
      <c r="C77" s="31" t="s">
        <v>381</v>
      </c>
      <c r="D77" s="32" t="s">
        <v>375</v>
      </c>
      <c r="E77" s="32" t="s">
        <v>229</v>
      </c>
      <c r="F77" s="32" t="s">
        <v>376</v>
      </c>
      <c r="G77" s="32" t="s">
        <v>96</v>
      </c>
      <c r="H77" s="32" t="s">
        <v>96</v>
      </c>
      <c r="I77" s="32" t="s">
        <v>382</v>
      </c>
      <c r="J77" s="32" t="s">
        <v>231</v>
      </c>
    </row>
    <row r="78" customFormat="false" ht="30" hidden="false" customHeight="true" outlineLevel="0" collapsed="false">
      <c r="A78" s="30" t="s">
        <v>226</v>
      </c>
      <c r="B78" s="33" t="s">
        <v>383</v>
      </c>
      <c r="C78" s="34" t="s">
        <v>384</v>
      </c>
      <c r="D78" s="34" t="s">
        <v>145</v>
      </c>
      <c r="E78" s="34" t="s">
        <v>229</v>
      </c>
      <c r="F78" s="33" t="s">
        <v>249</v>
      </c>
      <c r="G78" s="34" t="s">
        <v>96</v>
      </c>
      <c r="H78" s="34" t="s">
        <v>96</v>
      </c>
      <c r="I78" s="33" t="s">
        <v>385</v>
      </c>
      <c r="J78" s="34" t="s">
        <v>231</v>
      </c>
    </row>
    <row r="79" customFormat="false" ht="30" hidden="false" customHeight="true" outlineLevel="0" collapsed="false">
      <c r="A79" s="30" t="s">
        <v>226</v>
      </c>
      <c r="B79" s="31" t="s">
        <v>386</v>
      </c>
      <c r="C79" s="32" t="s">
        <v>387</v>
      </c>
      <c r="D79" s="32" t="s">
        <v>388</v>
      </c>
      <c r="E79" s="32" t="s">
        <v>229</v>
      </c>
      <c r="F79" s="32" t="s">
        <v>389</v>
      </c>
      <c r="G79" s="32" t="s">
        <v>96</v>
      </c>
      <c r="H79" s="32" t="s">
        <v>96</v>
      </c>
      <c r="I79" s="32" t="s">
        <v>390</v>
      </c>
      <c r="J79" s="32" t="s">
        <v>231</v>
      </c>
    </row>
    <row r="80" customFormat="false" ht="30" hidden="false" customHeight="true" outlineLevel="0" collapsed="false">
      <c r="A80" s="30" t="s">
        <v>226</v>
      </c>
      <c r="B80" s="33" t="s">
        <v>391</v>
      </c>
      <c r="C80" s="34" t="s">
        <v>392</v>
      </c>
      <c r="D80" s="34" t="s">
        <v>375</v>
      </c>
      <c r="E80" s="34" t="s">
        <v>229</v>
      </c>
      <c r="F80" s="34" t="s">
        <v>376</v>
      </c>
      <c r="G80" s="34" t="s">
        <v>96</v>
      </c>
      <c r="H80" s="34" t="s">
        <v>96</v>
      </c>
      <c r="I80" s="34" t="s">
        <v>96</v>
      </c>
      <c r="J80" s="34" t="s">
        <v>231</v>
      </c>
    </row>
    <row r="81" customFormat="false" ht="30" hidden="false" customHeight="true" outlineLevel="0" collapsed="false">
      <c r="A81" s="30" t="s">
        <v>226</v>
      </c>
      <c r="B81" s="31" t="s">
        <v>197</v>
      </c>
      <c r="C81" s="32" t="s">
        <v>393</v>
      </c>
      <c r="D81" s="32" t="s">
        <v>167</v>
      </c>
      <c r="E81" s="32" t="s">
        <v>229</v>
      </c>
      <c r="F81" s="32" t="s">
        <v>230</v>
      </c>
      <c r="G81" s="32" t="s">
        <v>96</v>
      </c>
      <c r="H81" s="32" t="s">
        <v>96</v>
      </c>
      <c r="I81" s="32" t="s">
        <v>394</v>
      </c>
      <c r="J81" s="32" t="s">
        <v>231</v>
      </c>
    </row>
    <row r="82" customFormat="false" ht="30" hidden="false" customHeight="true" outlineLevel="0" collapsed="false">
      <c r="A82" s="30" t="s">
        <v>226</v>
      </c>
      <c r="B82" s="33" t="s">
        <v>395</v>
      </c>
      <c r="C82" s="34" t="s">
        <v>396</v>
      </c>
      <c r="D82" s="34" t="s">
        <v>167</v>
      </c>
      <c r="E82" s="34" t="s">
        <v>229</v>
      </c>
      <c r="F82" s="34" t="s">
        <v>230</v>
      </c>
      <c r="G82" s="34" t="s">
        <v>96</v>
      </c>
      <c r="H82" s="34" t="s">
        <v>96</v>
      </c>
      <c r="I82" s="34" t="s">
        <v>96</v>
      </c>
      <c r="J82" s="34" t="s">
        <v>231</v>
      </c>
    </row>
    <row r="83" customFormat="false" ht="30" hidden="false" customHeight="true" outlineLevel="0" collapsed="false">
      <c r="A83" s="30" t="s">
        <v>226</v>
      </c>
      <c r="B83" s="31" t="s">
        <v>397</v>
      </c>
      <c r="C83" s="32" t="s">
        <v>398</v>
      </c>
      <c r="D83" s="32" t="s">
        <v>167</v>
      </c>
      <c r="E83" s="32" t="s">
        <v>229</v>
      </c>
      <c r="F83" s="32" t="s">
        <v>230</v>
      </c>
      <c r="G83" s="32" t="s">
        <v>96</v>
      </c>
      <c r="H83" s="32" t="s">
        <v>96</v>
      </c>
      <c r="I83" s="32" t="s">
        <v>96</v>
      </c>
      <c r="J83" s="32" t="s">
        <v>231</v>
      </c>
    </row>
    <row r="84" customFormat="false" ht="30" hidden="false" customHeight="true" outlineLevel="0" collapsed="false">
      <c r="A84" s="30" t="s">
        <v>226</v>
      </c>
      <c r="B84" s="33" t="s">
        <v>399</v>
      </c>
      <c r="C84" s="34" t="s">
        <v>400</v>
      </c>
      <c r="D84" s="34" t="s">
        <v>167</v>
      </c>
      <c r="E84" s="34" t="s">
        <v>229</v>
      </c>
      <c r="F84" s="34" t="s">
        <v>230</v>
      </c>
      <c r="G84" s="34" t="s">
        <v>96</v>
      </c>
      <c r="H84" s="34" t="s">
        <v>96</v>
      </c>
      <c r="I84" s="34" t="s">
        <v>96</v>
      </c>
      <c r="J84" s="34" t="s">
        <v>231</v>
      </c>
    </row>
    <row r="85" customFormat="false" ht="30" hidden="false" customHeight="true" outlineLevel="0" collapsed="false">
      <c r="A85" s="30" t="s">
        <v>226</v>
      </c>
      <c r="B85" s="31" t="s">
        <v>401</v>
      </c>
      <c r="C85" s="32" t="s">
        <v>402</v>
      </c>
      <c r="D85" s="32" t="s">
        <v>167</v>
      </c>
      <c r="E85" s="32" t="s">
        <v>229</v>
      </c>
      <c r="F85" s="32" t="s">
        <v>230</v>
      </c>
      <c r="G85" s="32" t="s">
        <v>96</v>
      </c>
      <c r="H85" s="32" t="s">
        <v>96</v>
      </c>
      <c r="I85" s="32" t="s">
        <v>96</v>
      </c>
      <c r="J85" s="32" t="s">
        <v>231</v>
      </c>
    </row>
    <row r="86" customFormat="false" ht="30" hidden="false" customHeight="true" outlineLevel="0" collapsed="false">
      <c r="A86" s="30" t="s">
        <v>226</v>
      </c>
      <c r="B86" s="33" t="s">
        <v>403</v>
      </c>
      <c r="C86" s="34" t="s">
        <v>404</v>
      </c>
      <c r="D86" s="34" t="s">
        <v>405</v>
      </c>
      <c r="E86" s="34" t="s">
        <v>229</v>
      </c>
      <c r="F86" s="34" t="s">
        <v>406</v>
      </c>
      <c r="G86" s="34" t="s">
        <v>96</v>
      </c>
      <c r="H86" s="34" t="s">
        <v>96</v>
      </c>
      <c r="I86" s="34" t="s">
        <v>407</v>
      </c>
      <c r="J86" s="34" t="s">
        <v>231</v>
      </c>
    </row>
    <row r="87" customFormat="false" ht="30" hidden="false" customHeight="true" outlineLevel="0" collapsed="false">
      <c r="A87" s="30" t="s">
        <v>226</v>
      </c>
      <c r="B87" s="31" t="s">
        <v>408</v>
      </c>
      <c r="C87" s="32" t="s">
        <v>409</v>
      </c>
      <c r="D87" s="32" t="s">
        <v>388</v>
      </c>
      <c r="E87" s="32" t="s">
        <v>229</v>
      </c>
      <c r="F87" s="32" t="s">
        <v>389</v>
      </c>
      <c r="G87" s="32" t="s">
        <v>96</v>
      </c>
      <c r="H87" s="32" t="s">
        <v>96</v>
      </c>
      <c r="I87" s="32" t="s">
        <v>410</v>
      </c>
      <c r="J87" s="32" t="s">
        <v>231</v>
      </c>
    </row>
    <row r="88" customFormat="false" ht="30" hidden="false" customHeight="true" outlineLevel="0" collapsed="false">
      <c r="A88" s="30" t="s">
        <v>226</v>
      </c>
      <c r="B88" s="33" t="s">
        <v>411</v>
      </c>
      <c r="C88" s="34" t="s">
        <v>412</v>
      </c>
      <c r="D88" s="34" t="s">
        <v>388</v>
      </c>
      <c r="E88" s="34" t="s">
        <v>229</v>
      </c>
      <c r="F88" s="34" t="s">
        <v>389</v>
      </c>
      <c r="G88" s="34" t="s">
        <v>96</v>
      </c>
      <c r="H88" s="34" t="s">
        <v>96</v>
      </c>
      <c r="I88" s="34" t="s">
        <v>413</v>
      </c>
      <c r="J88" s="34" t="s">
        <v>231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2026-07-16T09:00:35Z</dcterms:created>
  <dc:creator>openpyxl</dc:creator>
  <dc:description/>
  <dc:language>en-US</dc:language>
  <cp:lastModifiedBy/>
  <dcterms:modified xsi:type="dcterms:W3CDTF">2026-07-16T09:04:00Z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
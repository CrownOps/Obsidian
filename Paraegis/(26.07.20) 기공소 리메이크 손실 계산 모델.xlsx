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손실 계산기" sheetId="1" state="visible" r:id="rId1"/>
    <sheet xmlns:r="http://schemas.openxmlformats.org/officeDocument/2006/relationships" name="② 시나리오 분석" sheetId="2" state="visible" r:id="rId2"/>
    <sheet xmlns:r="http://schemas.openxmlformats.org/officeDocument/2006/relationships" name="③ 보철 종류별 분석" sheetId="3" state="visible" r:id="rId3"/>
    <sheet xmlns:r="http://schemas.openxmlformats.org/officeDocument/2006/relationships" name="④ 가정 &amp; 출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0"/>
    </font>
    <font>
      <color rgb="00000000"/>
      <sz val="11"/>
    </font>
    <font>
      <b val="1"/>
      <color rgb="00000000"/>
      <sz val="11"/>
    </font>
    <font>
      <i val="1"/>
      <color rgb="00000000"/>
      <sz val="11"/>
    </font>
    <font>
      <i val="1"/>
      <color rgb="00000000"/>
      <sz val="9"/>
    </font>
    <font>
      <b val="1"/>
      <color rgb="00C00000"/>
      <sz val="11"/>
    </font>
    <font>
      <b val="1"/>
      <color rgb="00C00000"/>
      <sz val="13"/>
    </font>
    <font>
      <b val="1"/>
      <color rgb="007030A0"/>
      <sz val="14"/>
    </font>
    <font>
      <b val="1"/>
      <color rgb="00FFFFFF"/>
      <sz val="11"/>
    </font>
    <font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3" fontId="4" fillId="7" borderId="2" applyAlignment="1" pivotButton="0" quotePrefix="0" xfId="0">
      <alignment horizontal="right" vertical="center"/>
    </xf>
    <xf numFmtId="3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3" fontId="8" fillId="8" borderId="4" applyAlignment="1" pivotButton="0" quotePrefix="0" xfId="0">
      <alignment horizontal="right" vertical="center"/>
    </xf>
    <xf numFmtId="3" fontId="9" fillId="8" borderId="4" applyAlignment="1" pivotButton="0" quotePrefix="0" xfId="0">
      <alignment horizontal="right" vertical="center"/>
    </xf>
    <xf numFmtId="0" fontId="8" fillId="8" borderId="4" pivotButton="0" quotePrefix="0" xfId="0"/>
    <xf numFmtId="165" fontId="5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3" fontId="5" fillId="8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10" fillId="5" borderId="2" applyAlignment="1" pivotButton="0" quotePrefix="0" xfId="0">
      <alignment horizontal="right" vertical="center"/>
    </xf>
    <xf numFmtId="0" fontId="0" fillId="0" borderId="8" pivotButton="0" quotePrefix="0" xfId="0"/>
    <xf numFmtId="0" fontId="6" fillId="5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1" fontId="4" fillId="10" borderId="2" applyAlignment="1" pivotButton="0" quotePrefix="0" xfId="0">
      <alignment horizontal="center" vertical="center"/>
    </xf>
    <xf numFmtId="165" fontId="0" fillId="10" borderId="2" applyAlignment="1" pivotButton="0" quotePrefix="0" xfId="0">
      <alignment horizontal="center" vertical="center"/>
    </xf>
    <xf numFmtId="3" fontId="4" fillId="10" borderId="2" applyAlignment="1" pivotButton="0" quotePrefix="0" xfId="0">
      <alignment horizontal="right" vertical="center"/>
    </xf>
    <xf numFmtId="3" fontId="0" fillId="10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left" vertical="center"/>
    </xf>
    <xf numFmtId="1" fontId="4" fillId="11" borderId="2" applyAlignment="1" pivotButton="0" quotePrefix="0" xfId="0">
      <alignment horizontal="center" vertical="center"/>
    </xf>
    <xf numFmtId="165" fontId="0" fillId="11" borderId="2" applyAlignment="1" pivotButton="0" quotePrefix="0" xfId="0">
      <alignment horizontal="center" vertical="center"/>
    </xf>
    <xf numFmtId="3" fontId="4" fillId="11" borderId="2" applyAlignment="1" pivotButton="0" quotePrefix="0" xfId="0">
      <alignment horizontal="right" vertical="center"/>
    </xf>
    <xf numFmtId="3" fontId="0" fillId="11" borderId="2" applyAlignment="1" pivotButton="0" quotePrefix="0" xfId="0">
      <alignment horizontal="right" vertical="center"/>
    </xf>
    <xf numFmtId="1" fontId="5" fillId="8" borderId="2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2" fillId="12" borderId="4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8" customHeight="1"/>
    <row r="2" ht="36" customHeight="1">
      <c r="B2" s="1" t="inlineStr">
        <is>
          <t>기공소 리메이크 손실 계산기</t>
        </is>
      </c>
    </row>
    <row r="3" ht="6" customHeight="1"/>
    <row r="4" ht="24" customHeight="1">
      <c r="B4" s="2" t="inlineStr">
        <is>
          <t>🔧  기본 입력값  (노란색 셀을 수정하세요)</t>
        </is>
      </c>
    </row>
    <row r="5" ht="20" customHeight="1">
      <c r="B5" s="3" t="inlineStr">
        <is>
          <t>항목</t>
        </is>
      </c>
      <c r="C5" s="3" t="inlineStr">
        <is>
          <t>값</t>
        </is>
      </c>
      <c r="D5" s="3" t="inlineStr">
        <is>
          <t>단위</t>
        </is>
      </c>
      <c r="E5" s="3" t="inlineStr">
        <is>
          <t>기준/참고</t>
        </is>
      </c>
      <c r="F5" s="3" t="inlineStr">
        <is>
          <t>출처</t>
        </is>
      </c>
    </row>
    <row r="6" ht="22" customHeight="1">
      <c r="B6" s="4" t="inlineStr">
        <is>
          <t>월 총 케이스 수</t>
        </is>
      </c>
      <c r="C6" s="5" t="n">
        <v>200</v>
      </c>
      <c r="D6" s="6" t="inlineStr">
        <is>
          <t>건/월</t>
        </is>
      </c>
      <c r="E6" s="4" t="inlineStr">
        <is>
          <t>중소 기공소 평균</t>
        </is>
      </c>
      <c r="F6" s="7" t="inlineStr">
        <is>
          <t>업계 추정</t>
        </is>
      </c>
    </row>
    <row r="7" ht="22" customHeight="1">
      <c r="B7" s="4" t="inlineStr">
        <is>
          <t>리메이크 발생률</t>
        </is>
      </c>
      <c r="C7" s="8" t="n">
        <v>0.1</v>
      </c>
      <c r="D7" s="6" t="inlineStr">
        <is>
          <t>%</t>
        </is>
      </c>
      <c r="E7" s="4" t="inlineStr">
        <is>
          <t>국내 평균 10%</t>
        </is>
      </c>
      <c r="F7" s="7" t="inlineStr">
        <is>
          <t>치의신보</t>
        </is>
      </c>
    </row>
    <row r="8" ht="22" customHeight="1">
      <c r="B8" s="4" t="inlineStr">
        <is>
          <t>평균 기공료 (케이스당)</t>
        </is>
      </c>
      <c r="C8" s="9" t="n">
        <v>90000</v>
      </c>
      <c r="D8" s="6" t="inlineStr">
        <is>
          <t>원</t>
        </is>
      </c>
      <c r="E8" s="4" t="inlineStr">
        <is>
          <t>메탈~지르코니아 평균</t>
        </is>
      </c>
      <c r="F8" s="7" t="inlineStr">
        <is>
          <t>업계 추정</t>
        </is>
      </c>
    </row>
    <row r="9" ht="22" customHeight="1">
      <c r="B9" s="4" t="inlineStr">
        <is>
          <t>재료비 비율</t>
        </is>
      </c>
      <c r="C9" s="8" t="n">
        <v>0.3</v>
      </c>
      <c r="D9" s="6" t="inlineStr">
        <is>
          <t>%</t>
        </is>
      </c>
      <c r="E9" s="4" t="inlineStr">
        <is>
          <t>기공료의 약 30%</t>
        </is>
      </c>
      <c r="F9" s="7" t="inlineStr">
        <is>
          <t>업계 추정</t>
        </is>
      </c>
    </row>
    <row r="10" ht="22" customHeight="1">
      <c r="B10" s="4" t="inlineStr">
        <is>
          <t>기공사 시간당 인건비</t>
        </is>
      </c>
      <c r="C10" s="9" t="n">
        <v>18000</v>
      </c>
      <c r="D10" s="6" t="inlineStr">
        <is>
          <t>원/시간</t>
        </is>
      </c>
      <c r="E10" s="4" t="inlineStr">
        <is>
          <t>연봉 3,765만÷2,080h</t>
        </is>
      </c>
      <c r="F10" s="7" t="inlineStr">
        <is>
          <t>고용노동부 2021</t>
        </is>
      </c>
    </row>
    <row r="11" ht="22" customHeight="1">
      <c r="B11" s="4" t="inlineStr">
        <is>
          <t>케이스당 평균 제작 시간</t>
        </is>
      </c>
      <c r="C11" s="5" t="n">
        <v>2.5</v>
      </c>
      <c r="D11" s="6" t="inlineStr">
        <is>
          <t>시간</t>
        </is>
      </c>
      <c r="E11" s="4" t="inlineStr">
        <is>
          <t>보철 종류 혼합 기준</t>
        </is>
      </c>
      <c r="F11" s="7" t="inlineStr">
        <is>
          <t>업계 추정</t>
        </is>
      </c>
    </row>
    <row r="12" ht="10" customHeight="1"/>
    <row r="13" ht="24" customHeight="1">
      <c r="B13" s="10" t="inlineStr">
        <is>
          <t>💸  손실 계산 결과</t>
        </is>
      </c>
    </row>
    <row r="14" ht="20" customHeight="1">
      <c r="B14" s="11" t="inlineStr">
        <is>
          <t>항목</t>
        </is>
      </c>
      <c r="C14" s="11" t="inlineStr">
        <is>
          <t>계산식</t>
        </is>
      </c>
      <c r="D14" s="11" t="inlineStr">
        <is>
          <t>월간 손실</t>
        </is>
      </c>
      <c r="E14" s="11" t="inlineStr">
        <is>
          <t>연간 손실</t>
        </is>
      </c>
      <c r="F14" s="11" t="inlineStr">
        <is>
          <t>비고</t>
        </is>
      </c>
    </row>
    <row r="15" ht="22" customHeight="1">
      <c r="B15" s="12" t="inlineStr">
        <is>
          <t>① 월 리메이크 건수</t>
        </is>
      </c>
      <c r="C15" s="13">
        <f>C6*C7</f>
        <v/>
      </c>
      <c r="D15" s="13">
        <f>C15</f>
        <v/>
      </c>
      <c r="E15" s="14">
        <f>C6*C7*12</f>
        <v/>
      </c>
      <c r="F15" s="15" t="inlineStr"/>
    </row>
    <row r="16" ht="22" customHeight="1">
      <c r="B16" s="12" t="inlineStr">
        <is>
          <t>② 재료비 손실</t>
        </is>
      </c>
      <c r="C16" s="16">
        <f>C6*C7*C8*C9</f>
        <v/>
      </c>
      <c r="D16" s="16">
        <f>C16</f>
        <v/>
      </c>
      <c r="E16" s="17">
        <f>C6*C7*C8*C9*12</f>
        <v/>
      </c>
      <c r="F16" s="15" t="inlineStr">
        <is>
          <t>케이스수×재제작률×기공료×재료비율</t>
        </is>
      </c>
    </row>
    <row r="17" ht="22" customHeight="1">
      <c r="B17" s="12" t="inlineStr">
        <is>
          <t>③ 인건비 손실</t>
        </is>
      </c>
      <c r="C17" s="16">
        <f>C6*C7*C11*C10</f>
        <v/>
      </c>
      <c r="D17" s="16">
        <f>C17</f>
        <v/>
      </c>
      <c r="E17" s="17">
        <f>C6*C7*C11*C10*12</f>
        <v/>
      </c>
      <c r="F17" s="15" t="inlineStr">
        <is>
          <t>케이스수×재제작률×시간×시급</t>
        </is>
      </c>
    </row>
    <row r="18" ht="22" customHeight="1">
      <c r="B18" s="12" t="inlineStr">
        <is>
          <t>④ 기회비용</t>
        </is>
      </c>
      <c r="C18" s="16">
        <f>C6*C7*C8*(1-C9)</f>
        <v/>
      </c>
      <c r="D18" s="16">
        <f>C18</f>
        <v/>
      </c>
      <c r="E18" s="17">
        <f>C6*C7*C8*(1-C9)*12</f>
        <v/>
      </c>
      <c r="F18" s="15" t="inlineStr">
        <is>
          <t>리메이크 건수×기공료×(1-재료비율)</t>
        </is>
      </c>
    </row>
    <row r="19" ht="28" customHeight="1">
      <c r="B19" s="18" t="inlineStr">
        <is>
          <t>🔴 총 손실 합계 (②+③+④)</t>
        </is>
      </c>
      <c r="C19" s="19">
        <f>C16+C17+C18</f>
        <v/>
      </c>
      <c r="D19" s="19">
        <f>D16+D17+D18</f>
        <v/>
      </c>
      <c r="E19" s="20">
        <f>E16+E17+E18</f>
        <v/>
      </c>
      <c r="F19" s="21" t="inlineStr">
        <is>
          <t>연간 총 손실</t>
        </is>
      </c>
    </row>
  </sheetData>
  <mergeCells count="3">
    <mergeCell ref="B2:F2"/>
    <mergeCell ref="B4:F4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8" customHeight="1"/>
    <row r="2" ht="36" customHeight="1">
      <c r="B2" s="1" t="inlineStr">
        <is>
          <t>리메이크 개선 시나리오별 절감 효과</t>
        </is>
      </c>
    </row>
    <row r="3" ht="6" customHeight="1"/>
    <row r="4" ht="24" customHeight="1">
      <c r="B4" s="2" t="inlineStr">
        <is>
          <t>📊  시나리오별 연간 손실 비교</t>
        </is>
      </c>
    </row>
    <row r="5" ht="22" customHeight="1">
      <c r="B5" s="3" t="inlineStr">
        <is>
          <t>시나리오</t>
        </is>
      </c>
      <c r="C5" s="3" t="inlineStr">
        <is>
          <t>재제작률</t>
        </is>
      </c>
      <c r="D5" s="3" t="inlineStr">
        <is>
          <t>월 리메이크</t>
        </is>
      </c>
      <c r="E5" s="3" t="inlineStr">
        <is>
          <t>연간 재료비 손실</t>
        </is>
      </c>
      <c r="F5" s="3" t="inlineStr">
        <is>
          <t>연간 인건비 손실</t>
        </is>
      </c>
      <c r="G5" s="3" t="inlineStr">
        <is>
          <t>연간 기회비용</t>
        </is>
      </c>
      <c r="H5" s="3" t="inlineStr">
        <is>
          <t>연간 총 손실</t>
        </is>
      </c>
    </row>
    <row r="6" ht="22" customHeight="1">
      <c r="B6" s="18" t="inlineStr">
        <is>
          <t>현재 (국내 평균)</t>
        </is>
      </c>
      <c r="C6" s="22" t="n">
        <v>0.1</v>
      </c>
      <c r="D6" s="23">
        <f>'① 손실 계산기'!C6*C6</f>
        <v/>
      </c>
      <c r="E6" s="24">
        <f>'① 손실 계산기'!C6*C6*'① 손실 계산기'!C8*'① 손실 계산기'!C9*12</f>
        <v/>
      </c>
      <c r="F6" s="24">
        <f>'① 손실 계산기'!C6*C6*'① 손실 계산기'!C11*'① 손실 계산기'!C10*12</f>
        <v/>
      </c>
      <c r="G6" s="24">
        <f>'① 손실 계산기'!C6*C6*'① 손실 계산기'!C8*(1-'① 손실 계산기'!C9)*12</f>
        <v/>
      </c>
      <c r="H6" s="25">
        <f>D6+E6+F6</f>
        <v/>
      </c>
    </row>
    <row r="7" ht="22" customHeight="1">
      <c r="B7" s="26" t="inlineStr">
        <is>
          <t>글로벌 평균</t>
        </is>
      </c>
      <c r="C7" s="8" t="n">
        <v>0.04</v>
      </c>
      <c r="D7" s="27">
        <f>'① 손실 계산기'!C6*C7</f>
        <v/>
      </c>
      <c r="E7" s="28">
        <f>'① 손실 계산기'!C6*C7*'① 손실 계산기'!C8*'① 손실 계산기'!C9*12</f>
        <v/>
      </c>
      <c r="F7" s="28">
        <f>'① 손실 계산기'!C6*C7*'① 손실 계산기'!C11*'① 손실 계산기'!C10*12</f>
        <v/>
      </c>
      <c r="G7" s="28">
        <f>'① 손실 계산기'!C6*C7*'① 손실 계산기'!C8*(1-'① 손실 계산기'!C9)*12</f>
        <v/>
      </c>
      <c r="H7" s="29">
        <f>D7+E7+F7</f>
        <v/>
      </c>
    </row>
    <row r="8" ht="22" customHeight="1">
      <c r="B8" s="26" t="inlineStr">
        <is>
          <t>목표 개선 (5%)</t>
        </is>
      </c>
      <c r="C8" s="8" t="n">
        <v>0.05</v>
      </c>
      <c r="D8" s="27">
        <f>'① 손실 계산기'!C6*C8</f>
        <v/>
      </c>
      <c r="E8" s="28">
        <f>'① 손실 계산기'!C6*C8*'① 손실 계산기'!C8*'① 손실 계산기'!C9*12</f>
        <v/>
      </c>
      <c r="F8" s="28">
        <f>'① 손실 계산기'!C6*C8*'① 손실 계산기'!C11*'① 손실 계산기'!C10*12</f>
        <v/>
      </c>
      <c r="G8" s="28">
        <f>'① 손실 계산기'!C6*C8*'① 손실 계산기'!C8*(1-'① 손실 계산기'!C9)*12</f>
        <v/>
      </c>
      <c r="H8" s="29">
        <f>D8+E8+F8</f>
        <v/>
      </c>
    </row>
    <row r="9" ht="22" customHeight="1">
      <c r="B9" s="30" t="inlineStr">
        <is>
          <t>우수 기공소 (3%)</t>
        </is>
      </c>
      <c r="C9" s="31" t="n">
        <v>0.03</v>
      </c>
      <c r="D9" s="13">
        <f>'① 손실 계산기'!C6*C9</f>
        <v/>
      </c>
      <c r="E9" s="16">
        <f>'① 손실 계산기'!C6*C9*'① 손실 계산기'!C8*'① 손실 계산기'!C9*12</f>
        <v/>
      </c>
      <c r="F9" s="16">
        <f>'① 손실 계산기'!C6*C9*'① 손실 계산기'!C11*'① 손실 계산기'!C10*12</f>
        <v/>
      </c>
      <c r="G9" s="16">
        <f>'① 손실 계산기'!C6*C9*'① 손실 계산기'!C8*(1-'① 손실 계산기'!C9)*12</f>
        <v/>
      </c>
      <c r="H9" s="17">
        <f>D9+E9+F9</f>
        <v/>
      </c>
    </row>
    <row r="10" ht="22" customHeight="1">
      <c r="B10" s="30" t="inlineStr">
        <is>
          <t>이상적 목표 (1%)</t>
        </is>
      </c>
      <c r="C10" s="31" t="n">
        <v>0.01</v>
      </c>
      <c r="D10" s="13">
        <f>'① 손실 계산기'!C6*C10</f>
        <v/>
      </c>
      <c r="E10" s="16">
        <f>'① 손실 계산기'!C6*C10*'① 손실 계산기'!C8*'① 손실 계산기'!C9*12</f>
        <v/>
      </c>
      <c r="F10" s="16">
        <f>'① 손실 계산기'!C6*C10*'① 손실 계산기'!C11*'① 손실 계산기'!C10*12</f>
        <v/>
      </c>
      <c r="G10" s="16">
        <f>'① 손실 계산기'!C6*C10*'① 손실 계산기'!C8*(1-'① 손실 계산기'!C9)*12</f>
        <v/>
      </c>
      <c r="H10" s="17">
        <f>D10+E10+F10</f>
        <v/>
      </c>
    </row>
    <row r="11" ht="10" customHeight="1"/>
    <row r="12" ht="24" customHeight="1">
      <c r="B12" s="32" t="inlineStr">
        <is>
          <t>💡  CrownOps 도입 시 절감 효과 (현재 → 목표 개선 5%)</t>
        </is>
      </c>
    </row>
    <row r="13" ht="28" customHeight="1">
      <c r="B13" s="33" t="inlineStr">
        <is>
          <t>연간 절감액</t>
        </is>
      </c>
      <c r="C13" s="34">
        <f>G6-G8</f>
        <v/>
      </c>
      <c r="D13" s="35" t="n"/>
      <c r="E13" s="26" t="inlineStr">
        <is>
          <t>원/년</t>
        </is>
      </c>
      <c r="F13" s="36" t="inlineStr">
        <is>
          <t>→ ROI 근거로 활용 가능</t>
        </is>
      </c>
    </row>
  </sheetData>
  <mergeCells count="4">
    <mergeCell ref="B2:G2"/>
    <mergeCell ref="B4:G4"/>
    <mergeCell ref="C13:D13"/>
    <mergeCell ref="B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8" customHeight="1"/>
    <row r="2" ht="36" customHeight="1">
      <c r="B2" s="1" t="inlineStr">
        <is>
          <t>보철 종류별 리메이크 손실 분석</t>
        </is>
      </c>
    </row>
    <row r="3" ht="6" customHeight="1"/>
    <row r="4" ht="24" customHeight="1">
      <c r="B4" s="2" t="inlineStr">
        <is>
          <t>🦷  보철 종류별 월간 손실</t>
        </is>
      </c>
    </row>
    <row r="5" ht="22" customHeight="1">
      <c r="B5" s="3" t="inlineStr">
        <is>
          <t>보철 종류</t>
        </is>
      </c>
      <c r="C5" s="3" t="inlineStr">
        <is>
          <t>월 케이스</t>
        </is>
      </c>
      <c r="D5" s="3" t="inlineStr">
        <is>
          <t>리메이크율</t>
        </is>
      </c>
      <c r="E5" s="3" t="inlineStr">
        <is>
          <t>기공료(원)</t>
        </is>
      </c>
      <c r="F5" s="3" t="inlineStr">
        <is>
          <t>재료비율</t>
        </is>
      </c>
      <c r="G5" s="3" t="inlineStr">
        <is>
          <t>월 손실(재료+인건비)</t>
        </is>
      </c>
      <c r="H5" s="3" t="inlineStr">
        <is>
          <t>월 기회비용</t>
        </is>
      </c>
    </row>
    <row r="6" ht="22" customHeight="1">
      <c r="B6" s="37" t="inlineStr">
        <is>
          <t>메탈 크라운</t>
        </is>
      </c>
      <c r="C6" s="38" t="n">
        <v>40</v>
      </c>
      <c r="D6" s="39" t="n">
        <v>0.058</v>
      </c>
      <c r="E6" s="40" t="n">
        <v>65000</v>
      </c>
      <c r="F6" s="39" t="n">
        <v>0.25</v>
      </c>
      <c r="G6" s="41">
        <f>C6*D6*E6*F6+C6*D6*'① 손실 계산기'!C11*'① 손실 계산기'!C10</f>
        <v/>
      </c>
      <c r="H6" s="41">
        <f>C6*D6*E6*(1-F6)</f>
        <v/>
      </c>
    </row>
    <row r="7" ht="22" customHeight="1">
      <c r="B7" s="42" t="inlineStr">
        <is>
          <t>PFM 크라운</t>
        </is>
      </c>
      <c r="C7" s="43" t="n">
        <v>50</v>
      </c>
      <c r="D7" s="44" t="n">
        <v>0.07000000000000001</v>
      </c>
      <c r="E7" s="45" t="n">
        <v>95000</v>
      </c>
      <c r="F7" s="44" t="n">
        <v>0.3</v>
      </c>
      <c r="G7" s="46">
        <f>C7*D7*E7*F7+C7*D7*'① 손실 계산기'!C11*'① 손실 계산기'!C10</f>
        <v/>
      </c>
      <c r="H7" s="46">
        <f>C7*D7*E7*(1-F7)</f>
        <v/>
      </c>
    </row>
    <row r="8" ht="22" customHeight="1">
      <c r="B8" s="37" t="inlineStr">
        <is>
          <t>지르코니아 크라운</t>
        </is>
      </c>
      <c r="C8" s="38" t="n">
        <v>60</v>
      </c>
      <c r="D8" s="39" t="n">
        <v>0.075</v>
      </c>
      <c r="E8" s="40" t="n">
        <v>110000</v>
      </c>
      <c r="F8" s="39" t="n">
        <v>0.28</v>
      </c>
      <c r="G8" s="41">
        <f>C8*D8*E8*F8+C8*D8*'① 손실 계산기'!C11*'① 손실 계산기'!C10</f>
        <v/>
      </c>
      <c r="H8" s="41">
        <f>C8*D8*E8*(1-F8)</f>
        <v/>
      </c>
    </row>
    <row r="9" ht="22" customHeight="1">
      <c r="B9" s="42" t="inlineStr">
        <is>
          <t>임플란트 보철</t>
        </is>
      </c>
      <c r="C9" s="43" t="n">
        <v>25</v>
      </c>
      <c r="D9" s="44" t="n">
        <v>0.08</v>
      </c>
      <c r="E9" s="45" t="n">
        <v>130000</v>
      </c>
      <c r="F9" s="44" t="n">
        <v>0.32</v>
      </c>
      <c r="G9" s="46">
        <f>C9*D9*E9*F9+C9*D9*'① 손실 계산기'!C11*'① 손실 계산기'!C10</f>
        <v/>
      </c>
      <c r="H9" s="46">
        <f>C9*D9*E9*(1-F9)</f>
        <v/>
      </c>
    </row>
    <row r="10" ht="22" customHeight="1">
      <c r="B10" s="37" t="inlineStr">
        <is>
          <t>가철성 의치</t>
        </is>
      </c>
      <c r="C10" s="38" t="n">
        <v>15</v>
      </c>
      <c r="D10" s="39" t="n">
        <v>0.098</v>
      </c>
      <c r="E10" s="40" t="n">
        <v>150000</v>
      </c>
      <c r="F10" s="39" t="n">
        <v>0.4</v>
      </c>
      <c r="G10" s="41">
        <f>C10*D10*E10*F10+C10*D10*'① 손실 계산기'!C11*'① 손실 계산기'!C10</f>
        <v/>
      </c>
      <c r="H10" s="41">
        <f>C10*D10*E10*(1-F10)</f>
        <v/>
      </c>
    </row>
    <row r="11" ht="22" customHeight="1">
      <c r="B11" s="42" t="inlineStr">
        <is>
          <t>심미보철</t>
        </is>
      </c>
      <c r="C11" s="43" t="n">
        <v>10</v>
      </c>
      <c r="D11" s="44" t="n">
        <v>0.095</v>
      </c>
      <c r="E11" s="45" t="n">
        <v>200000</v>
      </c>
      <c r="F11" s="44" t="n">
        <v>0.35</v>
      </c>
      <c r="G11" s="46">
        <f>C11*D11*E11*F11+C11*D11*'① 손실 계산기'!C11*'① 손실 계산기'!C10</f>
        <v/>
      </c>
      <c r="H11" s="46">
        <f>C11*D11*E11*(1-F11)</f>
        <v/>
      </c>
    </row>
    <row r="12" ht="26" customHeight="1">
      <c r="B12" s="18" t="inlineStr">
        <is>
          <t>합계</t>
        </is>
      </c>
      <c r="C12" s="47">
        <f>SUM(C6:C11)</f>
        <v/>
      </c>
      <c r="G12" s="19">
        <f>SUM(G6:G11)</f>
        <v/>
      </c>
      <c r="H12" s="19">
        <f>SUM(H6:H11)</f>
        <v/>
      </c>
    </row>
  </sheetData>
  <mergeCells count="2">
    <mergeCell ref="B4:H4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30" customWidth="1" min="4" max="4"/>
    <col width="2" customWidth="1" min="5" max="5"/>
  </cols>
  <sheetData>
    <row r="1" ht="8" customHeight="1"/>
    <row r="2" ht="36" customHeight="1">
      <c r="B2" s="1" t="inlineStr">
        <is>
          <t>모델 가정 및 데이터 출처</t>
        </is>
      </c>
    </row>
    <row r="3" ht="6" customHeight="1"/>
    <row r="4" ht="24" customHeight="1">
      <c r="B4" s="2" t="inlineStr">
        <is>
          <t>📋  핵심 가정 &amp; 출처</t>
        </is>
      </c>
    </row>
    <row r="5" ht="20" customHeight="1">
      <c r="B5" s="48" t="inlineStr">
        <is>
          <t>항목</t>
        </is>
      </c>
      <c r="C5" s="48" t="inlineStr">
        <is>
          <t>가정/수치</t>
        </is>
      </c>
      <c r="D5" s="48" t="inlineStr">
        <is>
          <t>출처</t>
        </is>
      </c>
    </row>
    <row r="6" ht="22" customHeight="1">
      <c r="B6" s="49" t="inlineStr">
        <is>
          <t>국내 평균 리메이크율</t>
        </is>
      </c>
      <c r="C6" s="4" t="inlineStr">
        <is>
          <t>10% (글로벌 평균 3.8%의 약 2.5배)</t>
        </is>
      </c>
      <c r="D6" s="7" t="inlineStr">
        <is>
          <t>치의신보 / NCBI PMC7005880</t>
        </is>
      </c>
    </row>
    <row r="7" ht="22" customHeight="1">
      <c r="B7" s="42" t="inlineStr">
        <is>
          <t>보철 재료비 비율</t>
        </is>
      </c>
      <c r="C7" s="50" t="inlineStr">
        <is>
          <t>기공료의 약 25~40% (종류별 상이)</t>
        </is>
      </c>
      <c r="D7" s="51" t="inlineStr">
        <is>
          <t>업계 추정</t>
        </is>
      </c>
    </row>
    <row r="8" ht="22" customHeight="1">
      <c r="B8" s="49" t="inlineStr">
        <is>
          <t>기공사 시간당 인건비</t>
        </is>
      </c>
      <c r="C8" s="4" t="inlineStr">
        <is>
          <t>약 18,000원 (연봉 3,765만 ÷ 2,080시간)</t>
        </is>
      </c>
      <c r="D8" s="7" t="inlineStr">
        <is>
          <t>고용노동부 고용형태별근로실태조사 2021</t>
        </is>
      </c>
    </row>
    <row r="9" ht="22" customHeight="1">
      <c r="B9" s="42" t="inlineStr">
        <is>
          <t>케이스당 제작 시간</t>
        </is>
      </c>
      <c r="C9" s="50" t="inlineStr">
        <is>
          <t>평균 2.5시간 (보철 종류 혼합 기준)</t>
        </is>
      </c>
      <c r="D9" s="51" t="inlineStr">
        <is>
          <t>업계 추정</t>
        </is>
      </c>
    </row>
    <row r="10" ht="22" customHeight="1">
      <c r="B10" s="49" t="inlineStr">
        <is>
          <t>기회비용 정의</t>
        </is>
      </c>
      <c r="C10" s="4" t="inlineStr">
        <is>
          <t>리메이크 시간에 신규 케이스를 처리했을 경우의 수익 손실</t>
        </is>
      </c>
      <c r="D10" s="7" t="inlineStr">
        <is>
          <t>자체 산정</t>
        </is>
      </c>
    </row>
    <row r="11" ht="22" customHeight="1">
      <c r="B11" s="42" t="inlineStr">
        <is>
          <t>리메이크 주요 원인</t>
        </is>
      </c>
      <c r="C11" s="50" t="inlineStr">
        <is>
          <t>인상체 변형 92.2% / 정보 오류 68.6% / 기공사 오류 62.7%</t>
        </is>
      </c>
      <c r="D11" s="51" t="inlineStr">
        <is>
          <t>치의신보</t>
        </is>
      </c>
    </row>
    <row r="12" ht="22" customHeight="1">
      <c r="B12" s="49" t="inlineStr">
        <is>
          <t>국내 기공소 수</t>
        </is>
      </c>
      <c r="C12" s="4" t="inlineStr">
        <is>
          <t>약 4,500개소 (추정)</t>
        </is>
      </c>
      <c r="D12" s="7" t="inlineStr">
        <is>
          <t>업계 추정 (공식 통계 확인 필요)</t>
        </is>
      </c>
    </row>
    <row r="13" ht="22" customHeight="1">
      <c r="B13" s="42" t="inlineStr">
        <is>
          <t>월 평균 케이스 수</t>
        </is>
      </c>
      <c r="C13" s="50" t="inlineStr">
        <is>
          <t>중소 기공소 기준 200건/월</t>
        </is>
      </c>
      <c r="D13" s="51" t="inlineStr">
        <is>
          <t>업계 추정</t>
        </is>
      </c>
    </row>
    <row r="14" ht="22" customHeight="1">
      <c r="B14" s="49" t="inlineStr">
        <is>
          <t>글로벌 비교 기준</t>
        </is>
      </c>
      <c r="C14" s="4" t="inlineStr">
        <is>
          <t>미국 dental lab 평균 3.8% (n=3,750 크라운)</t>
        </is>
      </c>
      <c r="D14" s="7" t="inlineStr">
        <is>
          <t>NCBI PMC7005880 (2020)</t>
        </is>
      </c>
    </row>
    <row r="15" ht="22" customHeight="1">
      <c r="B15" s="42" t="inlineStr">
        <is>
          <t>CrownOps 개선 목표</t>
        </is>
      </c>
      <c r="C15" s="50" t="inlineStr">
        <is>
          <t>리메이크율 10% → 5% (수주/커뮤니케이션 개선)</t>
        </is>
      </c>
      <c r="D15" s="51" t="inlineStr">
        <is>
          <t>자체 설정</t>
        </is>
      </c>
    </row>
    <row r="22" ht="24" customHeight="1">
      <c r="B22" s="52" t="inlineStr">
        <is>
          <t>⚠️  모델 한계 및 추가 검증 필요 항목</t>
        </is>
      </c>
    </row>
    <row r="23" ht="22" customHeight="1">
      <c r="B23" s="53" t="inlineStr">
        <is>
          <t>• 전국 기공소 정확한 수 → data.go.kr '전국치과기공소표준데이터' CSV 다운로드 필요</t>
        </is>
      </c>
    </row>
    <row r="24" ht="22" customHeight="1">
      <c r="B24" s="53" t="inlineStr">
        <is>
          <t>• 보철 종류별 월 케이스 수 분포 → 기공소 직접 인터뷰 또는 설문 필요</t>
        </is>
      </c>
    </row>
    <row r="25" ht="22" customHeight="1">
      <c r="B25" s="53" t="inlineStr">
        <is>
          <t>• 실제 기공료 단가 → 지역별·규모별 편차 존재, 직접 확인 필요</t>
        </is>
      </c>
    </row>
    <row r="26" ht="22" customHeight="1">
      <c r="B26" s="53" t="inlineStr">
        <is>
          <t>• 리메이크 이후 재작업 여부 추적 데이터 → 현재 국내 데이터 없음</t>
        </is>
      </c>
    </row>
    <row r="27" ht="22" customHeight="1">
      <c r="B27" s="53" t="inlineStr">
        <is>
          <t>• CrownOps 도입에 따른 실질 개선율 → 실증 데이터 확보 후 업데이트</t>
        </is>
      </c>
    </row>
  </sheetData>
  <mergeCells count="8">
    <mergeCell ref="B23:D23"/>
    <mergeCell ref="B22:D22"/>
    <mergeCell ref="B4:D4"/>
    <mergeCell ref="B26:D26"/>
    <mergeCell ref="B27:D27"/>
    <mergeCell ref="B25:D25"/>
    <mergeCell ref="B24:D2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2026-07-20T10:10:19Z</dcterms:created>
  <dcterms:modified xmlns:dcterms="http://purl.org/dc/terms/" xmlns:xsi="http://www.w3.org/2001/XMLSchema-instance" xsi:type="dcterms:W3CDTF">2026-07-20T10:10:19Z</dcterms:modified>
</cp:coreProperties>
</file>
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손실 계산기" sheetId="1" state="visible" r:id="rId1"/>
    <sheet xmlns:r="http://schemas.openxmlformats.org/officeDocument/2006/relationships" name="② 시나리오 분석" sheetId="2" state="visible" r:id="rId2"/>
    <sheet xmlns:r="http://schemas.openxmlformats.org/officeDocument/2006/relationships" name="③ TAM·SAM·SOM" sheetId="3" state="visible" r:id="rId3"/>
    <sheet xmlns:r="http://schemas.openxmlformats.org/officeDocument/2006/relationships" name="④ 해외 참고 (환율 환산)" sheetId="4" state="visible" r:id="rId4"/>
    <sheet xmlns:r="http://schemas.openxmlformats.org/officeDocument/2006/relationships" name="⑤ 가정 &amp; 출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8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b val="1"/>
      <color rgb="00000000"/>
      <sz val="11"/>
    </font>
    <font>
      <name val="맑은 고딕"/>
      <color rgb="00000000"/>
      <sz val="11"/>
    </font>
    <font>
      <name val="맑은 고딕"/>
      <i val="1"/>
      <color rgb="00595959"/>
      <sz val="11"/>
    </font>
    <font>
      <name val="맑은 고딕"/>
      <b val="1"/>
      <color rgb="00C00000"/>
      <sz val="13"/>
    </font>
    <font>
      <name val="맑은 고딕"/>
      <b val="1"/>
      <color rgb="00C00000"/>
      <sz val="11"/>
    </font>
    <font>
      <name val="맑은 고딕"/>
      <b val="1"/>
      <color rgb="007030A0"/>
      <sz val="14"/>
    </font>
    <font>
      <name val="맑은 고딕"/>
      <i val="1"/>
      <color rgb="007030A0"/>
      <sz val="11"/>
    </font>
    <font>
      <name val="맑은 고딕"/>
      <color rgb="00595959"/>
      <sz val="11"/>
    </font>
    <font>
      <name val="맑은 고딕"/>
      <b val="1"/>
      <color rgb="00375623"/>
      <sz val="12"/>
    </font>
    <font>
      <name val="맑은 고딕"/>
      <b val="1"/>
      <color rgb="00000000"/>
      <sz val="12"/>
    </font>
    <font>
      <name val="맑은 고딕"/>
      <b val="1"/>
      <color rgb="007030A0"/>
      <sz val="13"/>
    </font>
    <font>
      <name val="맑은 고딕"/>
      <i val="1"/>
      <color rgb="00595959"/>
      <sz val="9"/>
    </font>
    <font>
      <name val="맑은 고딕"/>
      <i val="1"/>
      <color rgb="00C00000"/>
      <sz val="9"/>
    </font>
    <font>
      <name val="맑은 고딕"/>
      <color rgb="00C00000"/>
      <sz val="10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7030A0"/>
      </patternFill>
    </fill>
    <fill>
      <patternFill patternType="solid">
        <fgColor rgb="00EAD1F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55A11"/>
      </patternFill>
    </fill>
    <fill>
      <patternFill patternType="solid">
        <fgColor rgb="00C00000"/>
      </patternFill>
    </fill>
  </fills>
  <borders count="11">
    <border>
      <left/>
      <right/>
      <top/>
      <bottom/>
      <diagonal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375623"/>
      </left>
      <right style="thin">
        <color rgb="00375623"/>
      </right>
      <top style="thin">
        <color rgb="00375623"/>
      </top>
      <bottom style="thin">
        <color rgb="00375623"/>
      </bottom>
    </border>
    <border>
      <left style="thin">
        <color rgb="00C00000"/>
      </left>
      <right style="thin">
        <color rgb="00C00000"/>
      </right>
      <top style="thin">
        <color rgb="00C00000"/>
      </top>
      <bottom style="thin">
        <color rgb="00C00000"/>
      </bottom>
    </border>
    <border>
      <left style="thin">
        <color rgb="007030A0"/>
      </left>
      <right style="thin">
        <color rgb="007030A0"/>
      </right>
      <top style="thin">
        <color rgb="007030A0"/>
      </top>
      <bottom style="thin">
        <color rgb="007030A0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  <border>
      <left style="thin">
        <color rgb="00C55A11"/>
      </left>
      <right style="thin">
        <color rgb="00C55A11"/>
      </right>
      <top style="thin">
        <color rgb="00C55A11"/>
      </top>
      <bottom style="thin">
        <color rgb="00C55A11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center" vertical="center"/>
    </xf>
    <xf numFmtId="3" fontId="4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3" fontId="7" fillId="8" borderId="4" applyAlignment="1" pivotButton="0" quotePrefix="0" xfId="0">
      <alignment horizontal="right" vertical="center"/>
    </xf>
    <xf numFmtId="165" fontId="4" fillId="8" borderId="2" applyAlignment="1" pivotButton="0" quotePrefix="0" xfId="0">
      <alignment horizontal="center" vertical="center"/>
    </xf>
    <xf numFmtId="3" fontId="4" fillId="8" borderId="2" applyAlignment="1" pivotButton="0" quotePrefix="0" xfId="0">
      <alignment horizontal="right" vertical="center"/>
    </xf>
    <xf numFmtId="3" fontId="8" fillId="8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center" vertical="center"/>
    </xf>
    <xf numFmtId="3" fontId="5" fillId="4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165" fontId="5" fillId="5" borderId="2" applyAlignment="1" pivotButton="0" quotePrefix="0" xfId="0">
      <alignment horizontal="center" vertical="center"/>
    </xf>
    <xf numFmtId="3" fontId="5" fillId="5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left" vertical="center"/>
    </xf>
    <xf numFmtId="165" fontId="5" fillId="7" borderId="2" applyAlignment="1" pivotButton="0" quotePrefix="0" xfId="0">
      <alignment horizontal="center" vertical="center"/>
    </xf>
    <xf numFmtId="3" fontId="5" fillId="7" borderId="2" applyAlignment="1" pivotButton="0" quotePrefix="0" xfId="0">
      <alignment horizontal="right" vertical="center"/>
    </xf>
    <xf numFmtId="0" fontId="2" fillId="9" borderId="5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/>
    </xf>
    <xf numFmtId="3" fontId="9" fillId="10" borderId="2" applyAlignment="1" pivotButton="0" quotePrefix="0" xfId="0">
      <alignment horizontal="right" vertical="center"/>
    </xf>
    <xf numFmtId="0" fontId="0" fillId="0" borderId="8" pivotButton="0" quotePrefix="0" xfId="0"/>
    <xf numFmtId="0" fontId="10" fillId="10" borderId="2" applyAlignment="1" pivotButton="0" quotePrefix="0" xfId="0">
      <alignment horizontal="left" vertical="center"/>
    </xf>
    <xf numFmtId="0" fontId="5" fillId="11" borderId="2" applyAlignment="1" pivotButton="0" quotePrefix="0" xfId="0">
      <alignment horizontal="left" vertical="center"/>
    </xf>
    <xf numFmtId="3" fontId="5" fillId="11" borderId="2" applyAlignment="1" pivotButton="0" quotePrefix="0" xfId="0">
      <alignment horizontal="right" vertical="center"/>
    </xf>
    <xf numFmtId="0" fontId="5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left" vertical="center"/>
    </xf>
    <xf numFmtId="0" fontId="4" fillId="12" borderId="2" applyAlignment="1" pivotButton="0" quotePrefix="0" xfId="0">
      <alignment horizontal="left" vertical="center"/>
    </xf>
    <xf numFmtId="3" fontId="4" fillId="12" borderId="2" applyAlignment="1" pivotButton="0" quotePrefix="0" xfId="0">
      <alignment horizontal="right" vertical="center"/>
    </xf>
    <xf numFmtId="0" fontId="5" fillId="12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left" vertical="center"/>
    </xf>
    <xf numFmtId="3" fontId="5" fillId="12" borderId="2" applyAlignment="1" pivotButton="0" quotePrefix="0" xfId="0">
      <alignment horizontal="right" vertical="center"/>
    </xf>
    <xf numFmtId="0" fontId="2" fillId="2" borderId="9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center" vertical="center"/>
    </xf>
    <xf numFmtId="3" fontId="12" fillId="11" borderId="2" applyAlignment="1" pivotButton="0" quotePrefix="0" xfId="0">
      <alignment horizontal="right" vertical="center"/>
    </xf>
    <xf numFmtId="3" fontId="13" fillId="7" borderId="2" applyAlignment="1" pivotButton="0" quotePrefix="0" xfId="0">
      <alignment horizontal="right" vertical="center"/>
    </xf>
    <xf numFmtId="3" fontId="14" fillId="5" borderId="2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2" fillId="13" borderId="10" applyAlignment="1" pivotButton="0" quotePrefix="0" xfId="0">
      <alignment horizontal="center" vertical="center"/>
    </xf>
    <xf numFmtId="0" fontId="3" fillId="13" borderId="10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right" vertical="center"/>
    </xf>
    <xf numFmtId="0" fontId="4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3" fontId="4" fillId="11" borderId="2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2" fillId="14" borderId="4" applyAlignment="1" pivotButton="0" quotePrefix="0" xfId="0">
      <alignment horizontal="center" vertical="center"/>
    </xf>
    <xf numFmtId="0" fontId="17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12" customWidth="1" min="4" max="4"/>
    <col width="20" customWidth="1" min="5" max="5"/>
    <col width="22" customWidth="1" min="6" max="6"/>
    <col width="2" customWidth="1" min="7" max="7"/>
  </cols>
  <sheetData>
    <row r="1" ht="8" customHeight="1"/>
    <row r="2" ht="38" customHeight="1">
      <c r="B2" s="1" t="inlineStr">
        <is>
          <t>기공소 리메이크 손실 계산기  (국내 기준)</t>
        </is>
      </c>
    </row>
    <row r="3" ht="8" customHeight="1"/>
    <row r="4" ht="26" customHeight="1">
      <c r="B4" s="2" t="inlineStr">
        <is>
          <t>🔧  기본 입력값  (노란색 셀 수정 → 자동 계산)</t>
        </is>
      </c>
    </row>
    <row r="5" ht="20" customHeight="1">
      <c r="B5" s="3" t="inlineStr">
        <is>
          <t>항목</t>
        </is>
      </c>
      <c r="C5" s="3" t="inlineStr">
        <is>
          <t>값</t>
        </is>
      </c>
      <c r="D5" s="3" t="inlineStr">
        <is>
          <t>단위</t>
        </is>
      </c>
      <c r="E5" s="3" t="inlineStr">
        <is>
          <t>기준/참고</t>
        </is>
      </c>
      <c r="F5" s="3" t="inlineStr">
        <is>
          <t>출처</t>
        </is>
      </c>
    </row>
    <row r="6" ht="22" customHeight="1">
      <c r="B6" s="4" t="inlineStr">
        <is>
          <t>월 총 케이스 수</t>
        </is>
      </c>
      <c r="C6" s="5" t="n">
        <v>200</v>
      </c>
      <c r="D6" s="6" t="inlineStr">
        <is>
          <t>건/월</t>
        </is>
      </c>
      <c r="E6" s="7" t="inlineStr">
        <is>
          <t>중소 기공소 평균 기준</t>
        </is>
      </c>
      <c r="F6" s="8" t="inlineStr">
        <is>
          <t>업계 추정</t>
        </is>
      </c>
    </row>
    <row r="7" ht="22" customHeight="1">
      <c r="B7" s="4" t="inlineStr">
        <is>
          <t>리메이크 발생률 (국내)</t>
        </is>
      </c>
      <c r="C7" s="9" t="n">
        <v>0.1</v>
      </c>
      <c r="D7" s="6" t="inlineStr">
        <is>
          <t>%</t>
        </is>
      </c>
      <c r="E7" s="7" t="inlineStr">
        <is>
          <t>국내 평균 10% (글로벌 4%의 2.5배)</t>
        </is>
      </c>
      <c r="F7" s="8" t="inlineStr">
        <is>
          <t>치의신보</t>
        </is>
      </c>
    </row>
    <row r="8" ht="22" customHeight="1">
      <c r="B8" s="4" t="inlineStr">
        <is>
          <t>보철 종류 혼합 평균 기공료</t>
        </is>
      </c>
      <c r="C8" s="10" t="n">
        <v>95000</v>
      </c>
      <c r="D8" s="6" t="inlineStr">
        <is>
          <t>원</t>
        </is>
      </c>
      <c r="E8" s="7" t="inlineStr">
        <is>
          <t>메탈~임플란트 가중 평균</t>
        </is>
      </c>
      <c r="F8" s="8" t="inlineStr">
        <is>
          <t>업계 추정</t>
        </is>
      </c>
    </row>
    <row r="9" ht="22" customHeight="1">
      <c r="B9" s="4" t="inlineStr">
        <is>
          <t>재료비 비율</t>
        </is>
      </c>
      <c r="C9" s="9" t="n">
        <v>0.3</v>
      </c>
      <c r="D9" s="6" t="inlineStr">
        <is>
          <t>%</t>
        </is>
      </c>
      <c r="E9" s="7" t="inlineStr">
        <is>
          <t>기공료의 약 30% (종류별 상이)</t>
        </is>
      </c>
      <c r="F9" s="8" t="inlineStr">
        <is>
          <t>업계 추정</t>
        </is>
      </c>
    </row>
    <row r="10" ht="22" customHeight="1">
      <c r="B10" s="4" t="inlineStr">
        <is>
          <t>기공사 시간당 인건비</t>
        </is>
      </c>
      <c r="C10" s="10" t="n">
        <v>18000</v>
      </c>
      <c r="D10" s="6" t="inlineStr">
        <is>
          <t>원/시간</t>
        </is>
      </c>
      <c r="E10" s="7" t="inlineStr">
        <is>
          <t>연봉 3,765만÷2,080시간</t>
        </is>
      </c>
      <c r="F10" s="8" t="inlineStr">
        <is>
          <t>고용노동부 2021</t>
        </is>
      </c>
    </row>
    <row r="11" ht="22" customHeight="1">
      <c r="B11" s="4" t="inlineStr">
        <is>
          <t>케이스당 평균 제작 시간</t>
        </is>
      </c>
      <c r="C11" s="5" t="n">
        <v>2.5</v>
      </c>
      <c r="D11" s="6" t="inlineStr">
        <is>
          <t>시간</t>
        </is>
      </c>
      <c r="E11" s="7" t="inlineStr">
        <is>
          <t>보철 종류 혼합 기준</t>
        </is>
      </c>
      <c r="F11" s="8" t="inlineStr">
        <is>
          <t>업계 추정</t>
        </is>
      </c>
    </row>
    <row r="12" ht="12" customHeight="1"/>
    <row r="13" ht="26" customHeight="1">
      <c r="B13" s="11" t="inlineStr">
        <is>
          <t>💸  손실 계산 결과</t>
        </is>
      </c>
    </row>
    <row r="14" ht="20" customHeight="1">
      <c r="B14" s="12" t="inlineStr">
        <is>
          <t>항목</t>
        </is>
      </c>
      <c r="C14" s="12" t="inlineStr">
        <is>
          <t>계산 내역</t>
        </is>
      </c>
      <c r="D14" s="12" t="inlineStr">
        <is>
          <t>단위</t>
        </is>
      </c>
      <c r="E14" s="12" t="inlineStr">
        <is>
          <t>월간 손실</t>
        </is>
      </c>
      <c r="F14" s="12" t="inlineStr">
        <is>
          <t>연간 손실</t>
        </is>
      </c>
    </row>
    <row r="15" ht="22" customHeight="1">
      <c r="B15" s="13" t="inlineStr">
        <is>
          <t>① 월 리메이크 건수</t>
        </is>
      </c>
      <c r="C15" s="14" t="inlineStr">
        <is>
          <t>케이스 수 × 재제작률</t>
        </is>
      </c>
      <c r="D15" s="15" t="inlineStr">
        <is>
          <t>건</t>
        </is>
      </c>
      <c r="E15" s="16">
        <f>C6*C7</f>
        <v/>
      </c>
      <c r="F15" s="17" t="inlineStr">
        <is>
          <t>(월 단위)</t>
        </is>
      </c>
    </row>
    <row r="16" ht="22" customHeight="1">
      <c r="B16" s="13" t="inlineStr">
        <is>
          <t>② 재료비 손실</t>
        </is>
      </c>
      <c r="C16" s="14" t="inlineStr">
        <is>
          <t>케이스 수 × 재제작률 × 기공료 × 재료비율</t>
        </is>
      </c>
      <c r="D16" s="15" t="inlineStr">
        <is>
          <t>원</t>
        </is>
      </c>
      <c r="E16" s="18">
        <f>C6*C7*C8*C9</f>
        <v/>
      </c>
      <c r="F16" s="18">
        <f>E16*12</f>
        <v/>
      </c>
    </row>
    <row r="17" ht="22" customHeight="1">
      <c r="B17" s="13" t="inlineStr">
        <is>
          <t>③ 인건비 손실</t>
        </is>
      </c>
      <c r="C17" s="14" t="inlineStr">
        <is>
          <t>케이스 수 × 재제작률 × 시간 × 시급</t>
        </is>
      </c>
      <c r="D17" s="15" t="inlineStr">
        <is>
          <t>원</t>
        </is>
      </c>
      <c r="E17" s="18">
        <f>C6*C7*C11*C10</f>
        <v/>
      </c>
      <c r="F17" s="18">
        <f>E17*12</f>
        <v/>
      </c>
    </row>
    <row r="18" ht="22" customHeight="1">
      <c r="B18" s="13" t="inlineStr">
        <is>
          <t>④ 기회비용</t>
        </is>
      </c>
      <c r="C18" s="14" t="inlineStr">
        <is>
          <t>리메이크 건수 × 기공료 × (1-재료비율) [신규케이스 기회손실]</t>
        </is>
      </c>
      <c r="D18" s="15" t="inlineStr">
        <is>
          <t>원</t>
        </is>
      </c>
      <c r="E18" s="18">
        <f>C6*C7*C8*(1-C9)</f>
        <v/>
      </c>
      <c r="F18" s="18">
        <f>E18*12</f>
        <v/>
      </c>
    </row>
    <row r="19" ht="30" customHeight="1">
      <c r="B19" s="19" t="inlineStr">
        <is>
          <t>🔴 총 손실 합계 (②+③+④)</t>
        </is>
      </c>
      <c r="C19" s="20" t="inlineStr">
        <is>
          <t>직접 손실 + 기회비용 합산</t>
        </is>
      </c>
      <c r="D19" s="21" t="inlineStr">
        <is>
          <t>원</t>
        </is>
      </c>
      <c r="E19" s="22">
        <f>E16+E17+E18</f>
        <v/>
      </c>
      <c r="F19" s="22">
        <f>F16+F17+F18</f>
        <v/>
      </c>
    </row>
  </sheetData>
  <mergeCells count="3">
    <mergeCell ref="B4:F4"/>
    <mergeCell ref="B2:G2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38" customHeight="1">
      <c r="B2" s="1" t="inlineStr">
        <is>
          <t>재제작률 개선 시나리오별 절감 효과</t>
        </is>
      </c>
    </row>
    <row r="3" ht="8" customHeight="1"/>
    <row r="4" ht="26" customHeight="1">
      <c r="B4" s="2" t="inlineStr">
        <is>
          <t>📊  시나리오별 연간 손실 비교  (기공소 1개소 기준, 월 200케이스)</t>
        </is>
      </c>
    </row>
    <row r="5" ht="20" customHeight="1">
      <c r="B5" s="3" t="inlineStr">
        <is>
          <t>시나리오</t>
        </is>
      </c>
      <c r="C5" s="3" t="inlineStr">
        <is>
          <t>재제작률</t>
        </is>
      </c>
      <c r="D5" s="3" t="inlineStr">
        <is>
          <t>연간 재료비 손실</t>
        </is>
      </c>
      <c r="E5" s="3" t="inlineStr">
        <is>
          <t>연간 인건비 손실</t>
        </is>
      </c>
      <c r="F5" s="3" t="inlineStr">
        <is>
          <t>연간 기회비용</t>
        </is>
      </c>
      <c r="G5" s="3" t="inlineStr">
        <is>
          <t>연간 총 손실</t>
        </is>
      </c>
    </row>
    <row r="6" ht="22" customHeight="1">
      <c r="B6" s="19" t="inlineStr">
        <is>
          <t>현재 (국내 평균 10%)</t>
        </is>
      </c>
      <c r="C6" s="23" t="n">
        <v>0.1</v>
      </c>
      <c r="D6" s="24">
        <f>'① 손실 계산기'!C6*C6*'① 손실 계산기'!C8*'① 손실 계산기'!C9*12</f>
        <v/>
      </c>
      <c r="E6" s="24">
        <f>'① 손실 계산기'!C6*C6*'① 손실 계산기'!C11*'① 손실 계산기'!C10*12</f>
        <v/>
      </c>
      <c r="F6" s="24">
        <f>'① 손실 계산기'!C6*C6*'① 손실 계산기'!C8*(1-'① 손실 계산기'!C9)*12</f>
        <v/>
      </c>
      <c r="G6" s="25">
        <f>D6+E6+F6</f>
        <v/>
      </c>
    </row>
    <row r="7" ht="22" customHeight="1">
      <c r="B7" s="7" t="inlineStr">
        <is>
          <t>글로벌 평균 참고 (4%)</t>
        </is>
      </c>
      <c r="C7" s="26" t="n">
        <v>0.04</v>
      </c>
      <c r="D7" s="27">
        <f>'① 손실 계산기'!C6*C7*'① 손실 계산기'!C8*'① 손실 계산기'!C9*12</f>
        <v/>
      </c>
      <c r="E7" s="27">
        <f>'① 손실 계산기'!C6*C7*'① 손실 계산기'!C11*'① 손실 계산기'!C10*12</f>
        <v/>
      </c>
      <c r="F7" s="27">
        <f>'① 손실 계산기'!C6*C7*'① 손실 계산기'!C8*(1-'① 손실 계산기'!C9)*12</f>
        <v/>
      </c>
      <c r="G7" s="27">
        <f>D7+E7+F7</f>
        <v/>
      </c>
    </row>
    <row r="8" ht="22" customHeight="1">
      <c r="B8" s="28" t="inlineStr">
        <is>
          <t>목표: 5% (개선 후)</t>
        </is>
      </c>
      <c r="C8" s="29" t="n">
        <v>0.05</v>
      </c>
      <c r="D8" s="30">
        <f>'① 손실 계산기'!C6*C8*'① 손실 계산기'!C8*'① 손실 계산기'!C9*12</f>
        <v/>
      </c>
      <c r="E8" s="30">
        <f>'① 손실 계산기'!C6*C8*'① 손실 계산기'!C11*'① 손실 계산기'!C10*12</f>
        <v/>
      </c>
      <c r="F8" s="30">
        <f>'① 손실 계산기'!C6*C8*'① 손실 계산기'!C8*(1-'① 손실 계산기'!C9)*12</f>
        <v/>
      </c>
      <c r="G8" s="30">
        <f>D8+E8+F8</f>
        <v/>
      </c>
    </row>
    <row r="9" ht="22" customHeight="1">
      <c r="B9" s="31" t="inlineStr">
        <is>
          <t>우수 기공소 기준 (3%)</t>
        </is>
      </c>
      <c r="C9" s="32" t="n">
        <v>0.03</v>
      </c>
      <c r="D9" s="33">
        <f>'① 손실 계산기'!C6*C9*'① 손실 계산기'!C8*'① 손실 계산기'!C9*12</f>
        <v/>
      </c>
      <c r="E9" s="33">
        <f>'① 손실 계산기'!C6*C9*'① 손실 계산기'!C11*'① 손실 계산기'!C10*12</f>
        <v/>
      </c>
      <c r="F9" s="33">
        <f>'① 손실 계산기'!C6*C9*'① 손실 계산기'!C8*(1-'① 손실 계산기'!C9)*12</f>
        <v/>
      </c>
      <c r="G9" s="33">
        <f>D9+E9+F9</f>
        <v/>
      </c>
    </row>
    <row r="10" ht="22" customHeight="1">
      <c r="B10" s="31" t="inlineStr">
        <is>
          <t>디지털 워크플로우 (1%)</t>
        </is>
      </c>
      <c r="C10" s="32" t="n">
        <v>0.01</v>
      </c>
      <c r="D10" s="33">
        <f>'① 손실 계산기'!C6*C10*'① 손실 계산기'!C8*'① 손실 계산기'!C9*12</f>
        <v/>
      </c>
      <c r="E10" s="33">
        <f>'① 손실 계산기'!C6*C10*'① 손실 계산기'!C11*'① 손실 계산기'!C10*12</f>
        <v/>
      </c>
      <c r="F10" s="33">
        <f>'① 손실 계산기'!C6*C10*'① 손실 계산기'!C8*(1-'① 손실 계산기'!C9)*12</f>
        <v/>
      </c>
      <c r="G10" s="33">
        <f>D10+E10+F10</f>
        <v/>
      </c>
    </row>
    <row r="11" ht="12" customHeight="1"/>
    <row r="12" ht="26" customHeight="1">
      <c r="B12" s="34" t="inlineStr">
        <is>
          <t>💡  CrownOps 도입 효과 — 현재(10%) → 목표(5%) 개선 시</t>
        </is>
      </c>
    </row>
    <row r="13" ht="28" customHeight="1">
      <c r="B13" s="35" t="inlineStr">
        <is>
          <t>기공소 1개소 연간 절감액</t>
        </is>
      </c>
      <c r="C13" s="36">
        <f>G6-G8</f>
        <v/>
      </c>
      <c r="D13" s="37" t="n"/>
      <c r="E13" s="35" t="inlineStr">
        <is>
          <t>원/년</t>
        </is>
      </c>
      <c r="F13" s="38" t="inlineStr">
        <is>
          <t>→ 구독료 대비 ROI 근거</t>
        </is>
      </c>
    </row>
  </sheetData>
  <mergeCells count="4">
    <mergeCell ref="B2:G2"/>
    <mergeCell ref="B4:G4"/>
    <mergeCell ref="C13:D13"/>
    <mergeCell ref="B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16" customWidth="1" min="4" max="4"/>
    <col width="22" customWidth="1" min="5" max="5"/>
    <col width="20" customWidth="1" min="6" max="6"/>
    <col width="2" customWidth="1" min="7" max="7"/>
  </cols>
  <sheetData>
    <row r="1" ht="8" customHeight="1"/>
    <row r="2" ht="38" customHeight="1">
      <c r="B2" s="1" t="inlineStr">
        <is>
          <t>시장 규모 산정  (TAM · SAM · SOM)</t>
        </is>
      </c>
    </row>
    <row r="3" ht="8" customHeight="1"/>
    <row r="4" ht="26" customHeight="1">
      <c r="B4" s="2" t="inlineStr">
        <is>
          <t>🏭  기공소 수 기초 데이터  (공공데이터 확정)</t>
        </is>
      </c>
    </row>
    <row r="5" ht="20" customHeight="1">
      <c r="B5" s="3" t="inlineStr">
        <is>
          <t>항목</t>
        </is>
      </c>
      <c r="C5" s="3" t="inlineStr">
        <is>
          <t>수치</t>
        </is>
      </c>
      <c r="D5" s="3" t="inlineStr">
        <is>
          <t>단위</t>
        </is>
      </c>
      <c r="E5" s="3" t="inlineStr">
        <is>
          <t>기준</t>
        </is>
      </c>
      <c r="F5" s="3" t="inlineStr">
        <is>
          <t>출처</t>
        </is>
      </c>
    </row>
    <row r="6" ht="22" customHeight="1">
      <c r="B6" s="39" t="inlineStr">
        <is>
          <t>전국 기공소 전체 등록 수</t>
        </is>
      </c>
      <c r="C6" s="40" t="n">
        <v>8752</v>
      </c>
      <c r="D6" s="41" t="inlineStr">
        <is>
          <t>개소</t>
        </is>
      </c>
      <c r="E6" s="39" t="inlineStr">
        <is>
          <t>공공데이터 전수</t>
        </is>
      </c>
      <c r="F6" s="42" t="inlineStr">
        <is>
          <t>건강_치과기공소.csv (2026.07)</t>
        </is>
      </c>
    </row>
    <row r="7" ht="22" customHeight="1">
      <c r="B7" s="43" t="inlineStr">
        <is>
          <t>영업 중 기공소</t>
        </is>
      </c>
      <c r="C7" s="44" t="n">
        <v>4663</v>
      </c>
      <c r="D7" s="45" t="inlineStr">
        <is>
          <t>개소</t>
        </is>
      </c>
      <c r="E7" s="46" t="inlineStr">
        <is>
          <t>영업/정상 상태</t>
        </is>
      </c>
      <c r="F7" s="47" t="inlineStr">
        <is>
          <t>건강_치과기공소.csv (2026.07)</t>
        </is>
      </c>
    </row>
    <row r="8" ht="22" customHeight="1">
      <c r="B8" s="39" t="inlineStr">
        <is>
          <t>폐업·기타</t>
        </is>
      </c>
      <c r="C8" s="40" t="n">
        <v>4089</v>
      </c>
      <c r="D8" s="41" t="inlineStr">
        <is>
          <t>개소</t>
        </is>
      </c>
      <c r="E8" s="39" t="inlineStr">
        <is>
          <t>폐업+삭제+취소 합산</t>
        </is>
      </c>
      <c r="F8" s="42" t="inlineStr">
        <is>
          <t>건강_치과기공소.csv (2026.07)</t>
        </is>
      </c>
    </row>
    <row r="9" ht="22" customHeight="1">
      <c r="B9" s="46" t="inlineStr">
        <is>
          <t>서울 영업 중 기공소</t>
        </is>
      </c>
      <c r="C9" s="48" t="n">
        <v>1003</v>
      </c>
      <c r="D9" s="45" t="inlineStr">
        <is>
          <t>개소</t>
        </is>
      </c>
      <c r="E9" s="46" t="inlineStr">
        <is>
          <t>지역별 1위</t>
        </is>
      </c>
      <c r="F9" s="47" t="inlineStr">
        <is>
          <t>건강_치과기공소.csv (2026.07)</t>
        </is>
      </c>
    </row>
    <row r="10" ht="22" customHeight="1">
      <c r="B10" s="39" t="inlineStr">
        <is>
          <t>경기 영업 중 기공소</t>
        </is>
      </c>
      <c r="C10" s="40" t="n">
        <v>774</v>
      </c>
      <c r="D10" s="41" t="inlineStr">
        <is>
          <t>개소</t>
        </is>
      </c>
      <c r="E10" s="39" t="inlineStr">
        <is>
          <t>지역별 2위</t>
        </is>
      </c>
      <c r="F10" s="42" t="inlineStr">
        <is>
          <t>건강_치과기공소.csv (2026.07)</t>
        </is>
      </c>
    </row>
    <row r="12" ht="12" customHeight="1"/>
    <row r="13" ht="26" customHeight="1">
      <c r="B13" s="49" t="inlineStr">
        <is>
          <t>📐  시장 규모 계산</t>
        </is>
      </c>
    </row>
    <row r="14" ht="20" customHeight="1">
      <c r="B14" s="50" t="inlineStr">
        <is>
          <t>구분</t>
        </is>
      </c>
      <c r="C14" s="50" t="inlineStr">
        <is>
          <t>계산식</t>
        </is>
      </c>
      <c r="D14" s="50" t="inlineStr">
        <is>
          <t>비율/수량</t>
        </is>
      </c>
      <c r="E14" s="50" t="inlineStr">
        <is>
          <t>시장 규모 (연간)</t>
        </is>
      </c>
      <c r="F14" s="50" t="inlineStr">
        <is>
          <t>설명</t>
        </is>
      </c>
    </row>
    <row r="15" ht="28" customHeight="1">
      <c r="B15" s="43" t="inlineStr">
        <is>
          <t>TAM  (전체 기공소 재제작 손실)</t>
        </is>
      </c>
      <c r="C15" s="51" t="inlineStr">
        <is>
          <t>→</t>
        </is>
      </c>
      <c r="D15" s="47" t="inlineStr">
        <is>
          <t>영업 중 4,663개소 전체</t>
        </is>
      </c>
      <c r="E15" s="52">
        <f>C7*'① 손실 계산기'!F19</f>
        <v/>
      </c>
      <c r="F15" s="47" t="inlineStr">
        <is>
          <t>재제작 손실을 100% 해소하는 이상적 시장 총량</t>
        </is>
      </c>
    </row>
    <row r="16" ht="28" customHeight="1">
      <c r="B16" s="43" t="inlineStr">
        <is>
          <t>SAM  (중소형 기공소 타겟)</t>
        </is>
      </c>
      <c r="C16" s="51" t="inlineStr">
        <is>
          <t>→</t>
        </is>
      </c>
      <c r="D16" s="47" t="inlineStr">
        <is>
          <t>TAM의 70% (2~10인 규모)</t>
        </is>
      </c>
      <c r="E16" s="53">
        <f>E15*0.7</f>
        <v/>
      </c>
      <c r="F16" s="47" t="inlineStr">
        <is>
          <t>실제 타겟 세그먼트 (중소형 기공소)</t>
        </is>
      </c>
    </row>
    <row r="17" ht="28" customHeight="1">
      <c r="B17" s="43" t="inlineStr">
        <is>
          <t>SOM  (초기 3년 목표 점유)</t>
        </is>
      </c>
      <c r="C17" s="51" t="inlineStr">
        <is>
          <t>→</t>
        </is>
      </c>
      <c r="D17" s="47" t="inlineStr">
        <is>
          <t>SAM의 5% (3년 누적 목표)</t>
        </is>
      </c>
      <c r="E17" s="54">
        <f>E16*0.05</f>
        <v/>
      </c>
      <c r="F17" s="47" t="inlineStr">
        <is>
          <t>CrownOps 현실적 초기 목표 시장</t>
        </is>
      </c>
    </row>
    <row r="19" ht="20" customHeight="1">
      <c r="B19" s="55" t="inlineStr">
        <is>
          <t>※ SAM 비율(70%)·SOM 비율(5%)은 ① 손실 계산기의 기본값 변경에 따라 자동 반영됩니다.</t>
        </is>
      </c>
    </row>
  </sheetData>
  <mergeCells count="4">
    <mergeCell ref="B4:F4"/>
    <mergeCell ref="B2:G2"/>
    <mergeCell ref="B13:F13"/>
    <mergeCell ref="B19:F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2" customWidth="1" min="7" max="7"/>
  </cols>
  <sheetData>
    <row r="1" ht="8" customHeight="1"/>
    <row r="2" ht="38" customHeight="1">
      <c r="B2" s="1" t="inlineStr">
        <is>
          <t>해외 수치 참고  (환율 환산 — 참고용)</t>
        </is>
      </c>
    </row>
    <row r="3" ht="8" customHeight="1"/>
    <row r="4" ht="26" customHeight="1">
      <c r="B4" s="56" t="inlineStr">
        <is>
          <t>💱  환율 설정  (노란색 셀 수정 가능)</t>
        </is>
      </c>
    </row>
    <row r="5" ht="22" customHeight="1">
      <c r="B5" s="57" t="inlineStr">
        <is>
          <t>통화</t>
        </is>
      </c>
      <c r="C5" s="57" t="inlineStr">
        <is>
          <t>환율 (원)</t>
        </is>
      </c>
      <c r="D5" s="57" t="inlineStr">
        <is>
          <t>단위</t>
        </is>
      </c>
      <c r="E5" s="57" t="inlineStr">
        <is>
          <t>기준일</t>
        </is>
      </c>
      <c r="F5" s="57" t="inlineStr">
        <is>
          <t>비고</t>
        </is>
      </c>
    </row>
    <row r="6" ht="22" customHeight="1">
      <c r="B6" s="4" t="inlineStr">
        <is>
          <t>USD (미국 달러)</t>
        </is>
      </c>
      <c r="C6" s="58" t="n">
        <v>1380</v>
      </c>
      <c r="D6" s="6" t="inlineStr">
        <is>
          <t>원/USD</t>
        </is>
      </c>
      <c r="E6" s="6" t="inlineStr">
        <is>
          <t>2026.07 기준</t>
        </is>
      </c>
      <c r="F6" s="8" t="inlineStr">
        <is>
          <t>환율은 직접 수정하세요</t>
        </is>
      </c>
    </row>
    <row r="7" ht="22" customHeight="1">
      <c r="B7" s="4" t="inlineStr">
        <is>
          <t>EUR (유로)</t>
        </is>
      </c>
      <c r="C7" s="58" t="n">
        <v>1510</v>
      </c>
      <c r="D7" s="6" t="inlineStr">
        <is>
          <t>원/EUR</t>
        </is>
      </c>
      <c r="E7" s="6" t="inlineStr">
        <is>
          <t>2026.07 기준</t>
        </is>
      </c>
      <c r="F7" s="8" t="inlineStr">
        <is>
          <t>환율은 직접 수정하세요</t>
        </is>
      </c>
    </row>
    <row r="9" ht="12" customHeight="1"/>
    <row r="10" ht="26" customHeight="1">
      <c r="B10" s="2" t="inlineStr">
        <is>
          <t>🌐  주요 해외 수치 → 원화 환산</t>
        </is>
      </c>
    </row>
    <row r="11" ht="20" customHeight="1">
      <c r="B11" s="3" t="inlineStr">
        <is>
          <t>항목</t>
        </is>
      </c>
      <c r="C11" s="3" t="inlineStr">
        <is>
          <t>원래 수치</t>
        </is>
      </c>
      <c r="D11" s="3" t="inlineStr">
        <is>
          <t>통화</t>
        </is>
      </c>
      <c r="E11" s="3" t="inlineStr">
        <is>
          <t>환산 금액 (원)</t>
        </is>
      </c>
      <c r="F11" s="3" t="inlineStr">
        <is>
          <t>출처/비고</t>
        </is>
      </c>
    </row>
    <row r="12" ht="22" customHeight="1">
      <c r="B12" s="46" t="inlineStr">
        <is>
          <t>재제작 1건 직접 손실 (하한)</t>
        </is>
      </c>
      <c r="C12" s="48" t="n">
        <v>150</v>
      </c>
      <c r="D12" s="59" t="inlineStr">
        <is>
          <t>USD</t>
        </is>
      </c>
      <c r="E12" s="44">
        <f>C12*C6</f>
        <v/>
      </c>
      <c r="F12" s="47" t="inlineStr">
        <is>
          <t>Spear Education / 업계 추정</t>
        </is>
      </c>
    </row>
    <row r="13" ht="22" customHeight="1">
      <c r="B13" s="39" t="inlineStr">
        <is>
          <t>재제작 1건 직접 손실 (상한)</t>
        </is>
      </c>
      <c r="C13" s="40" t="n">
        <v>400</v>
      </c>
      <c r="D13" s="60" t="inlineStr">
        <is>
          <t>USD</t>
        </is>
      </c>
      <c r="E13" s="61">
        <f>C13*C6</f>
        <v/>
      </c>
      <c r="F13" s="42" t="inlineStr">
        <is>
          <t>Spear Education / 업계 추정</t>
        </is>
      </c>
    </row>
    <row r="14" ht="22" customHeight="1">
      <c r="B14" s="46" t="inlineStr">
        <is>
          <t>디지털 케이스 재제작 1건</t>
        </is>
      </c>
      <c r="C14" s="48" t="n">
        <v>127</v>
      </c>
      <c r="D14" s="59" t="inlineStr">
        <is>
          <t>USD</t>
        </is>
      </c>
      <c r="E14" s="44">
        <f>C14*C6</f>
        <v/>
      </c>
      <c r="F14" s="47" t="inlineStr">
        <is>
          <t>DDS Lab</t>
        </is>
      </c>
    </row>
    <row r="15" ht="22" customHeight="1">
      <c r="B15" s="39" t="inlineStr">
        <is>
          <t>exocad 퍼페추얼 라이선스</t>
        </is>
      </c>
      <c r="C15" s="40" t="n">
        <v>4830</v>
      </c>
      <c r="D15" s="60" t="inlineStr">
        <is>
          <t>EUR</t>
        </is>
      </c>
      <c r="E15" s="61">
        <f>C15*C7</f>
        <v/>
      </c>
      <c r="F15" s="42" t="inlineStr">
        <is>
          <t>exocad 공식 (CAD 참고용)</t>
        </is>
      </c>
    </row>
    <row r="16" ht="22" customHeight="1">
      <c r="B16" s="46" t="inlineStr">
        <is>
          <t>LabStar 월 구독료 (추정)</t>
        </is>
      </c>
      <c r="C16" s="48" t="n">
        <v>150</v>
      </c>
      <c r="D16" s="59" t="inlineStr">
        <is>
          <t>USD</t>
        </is>
      </c>
      <c r="E16" s="44">
        <f>C16*C6</f>
        <v/>
      </c>
      <c r="F16" s="47" t="inlineStr">
        <is>
          <t>3Shape LabStar</t>
        </is>
      </c>
    </row>
    <row r="17" ht="22" customHeight="1">
      <c r="B17" s="39" t="inlineStr">
        <is>
          <t>미국 기공사 시급</t>
        </is>
      </c>
      <c r="C17" s="40" t="n">
        <v>21.6</v>
      </c>
      <c r="D17" s="60" t="inlineStr">
        <is>
          <t>USD</t>
        </is>
      </c>
      <c r="E17" s="61">
        <f>C17*C6</f>
        <v/>
      </c>
      <c r="F17" s="42" t="inlineStr">
        <is>
          <t>PayScale 2026 / 국내 18,000원과 비교</t>
        </is>
      </c>
    </row>
    <row r="19" ht="18" customHeight="1">
      <c r="B19" s="62" t="inlineStr">
        <is>
          <t>※ 해외 수치는 참고용입니다. 국내 TAM/SAM/SOM 산정은 ③ 시트 국내 데이터 기준을 우선 사용하세요.</t>
        </is>
      </c>
    </row>
  </sheetData>
  <mergeCells count="4">
    <mergeCell ref="B4:F4"/>
    <mergeCell ref="B2:G2"/>
    <mergeCell ref="B10:F10"/>
    <mergeCell ref="B19:F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40" customWidth="1" min="3" max="3"/>
    <col width="24" customWidth="1" min="4" max="4"/>
    <col width="2" customWidth="1" min="5" max="5"/>
  </cols>
  <sheetData>
    <row r="1" ht="8" customHeight="1"/>
    <row r="2" ht="38" customHeight="1">
      <c r="B2" s="1" t="inlineStr">
        <is>
          <t>모델 가정 및 데이터 출처</t>
        </is>
      </c>
    </row>
    <row r="3" ht="8" customHeight="1"/>
    <row r="4" ht="26" customHeight="1">
      <c r="B4" s="2" t="inlineStr">
        <is>
          <t>📋  핵심 가정 &amp; 출처</t>
        </is>
      </c>
    </row>
    <row r="5" ht="20" customHeight="1">
      <c r="B5" s="3" t="inlineStr">
        <is>
          <t>항목</t>
        </is>
      </c>
      <c r="C5" s="3" t="inlineStr">
        <is>
          <t>가정/수치</t>
        </is>
      </c>
      <c r="D5" s="3" t="inlineStr">
        <is>
          <t>출처</t>
        </is>
      </c>
    </row>
    <row r="6" ht="22" customHeight="1">
      <c r="B6" s="4" t="inlineStr">
        <is>
          <t>국내 평균 리메이크율</t>
        </is>
      </c>
      <c r="C6" s="7" t="inlineStr">
        <is>
          <t>10% (복수응답 조사 기준)</t>
        </is>
      </c>
      <c r="D6" s="8" t="inlineStr">
        <is>
          <t>치의신보 (dailydental.co.kr)</t>
        </is>
      </c>
    </row>
    <row r="7" ht="22" customHeight="1">
      <c r="B7" s="43" t="inlineStr">
        <is>
          <t>글로벌 평균 리메이크율</t>
        </is>
      </c>
      <c r="C7" s="46" t="inlineStr">
        <is>
          <t>3.8~4% (미국 단일 크라운 n=3,750)</t>
        </is>
      </c>
      <c r="D7" s="47" t="inlineStr">
        <is>
          <t>PMC NCBI / PMC7005880</t>
        </is>
      </c>
    </row>
    <row r="8" ht="22" customHeight="1">
      <c r="B8" s="4" t="inlineStr">
        <is>
          <t>재료비 비율</t>
        </is>
      </c>
      <c r="C8" s="7" t="inlineStr">
        <is>
          <t>기공료의 약 25~40% (종류별 상이, 평균 30%)</t>
        </is>
      </c>
      <c r="D8" s="8" t="inlineStr">
        <is>
          <t>업계 추정</t>
        </is>
      </c>
    </row>
    <row r="9" ht="22" customHeight="1">
      <c r="B9" s="43" t="inlineStr">
        <is>
          <t>기공사 시간당 인건비</t>
        </is>
      </c>
      <c r="C9" s="46" t="inlineStr">
        <is>
          <t>약 18,000원 (연봉 3,765만÷2,080시간)</t>
        </is>
      </c>
      <c r="D9" s="47" t="inlineStr">
        <is>
          <t>고용노동부 고용형태별근로실태조사 2021</t>
        </is>
      </c>
    </row>
    <row r="10" ht="22" customHeight="1">
      <c r="B10" s="4" t="inlineStr">
        <is>
          <t>케이스당 제작 시간</t>
        </is>
      </c>
      <c r="C10" s="7" t="inlineStr">
        <is>
          <t>평균 2.5시간 (혼합 기준)</t>
        </is>
      </c>
      <c r="D10" s="8" t="inlineStr">
        <is>
          <t>업계 추정</t>
        </is>
      </c>
    </row>
    <row r="11" ht="22" customHeight="1">
      <c r="B11" s="43" t="inlineStr">
        <is>
          <t>기회비용 정의</t>
        </is>
      </c>
      <c r="C11" s="46" t="inlineStr">
        <is>
          <t>리메이크 시간에 신규 케이스 처리 시 수익 손실</t>
        </is>
      </c>
      <c r="D11" s="47" t="inlineStr">
        <is>
          <t>자체 산정</t>
        </is>
      </c>
    </row>
    <row r="12" ht="22" customHeight="1">
      <c r="B12" s="4" t="inlineStr">
        <is>
          <t>영업 중 기공소 수</t>
        </is>
      </c>
      <c r="C12" s="7" t="inlineStr">
        <is>
          <t>4,663개소 (영업/정상 상태)</t>
        </is>
      </c>
      <c r="D12" s="8" t="inlineStr">
        <is>
          <t>건강_치과기공소.csv / 공공데이터포털 2026.07</t>
        </is>
      </c>
    </row>
    <row r="13" ht="22" customHeight="1">
      <c r="B13" s="43" t="inlineStr">
        <is>
          <t>SAM 비율</t>
        </is>
      </c>
      <c r="C13" s="46" t="inlineStr">
        <is>
          <t>전체의 70% (중소형 2~10인 규모 추정)</t>
        </is>
      </c>
      <c r="D13" s="47" t="inlineStr">
        <is>
          <t>업계 추정</t>
        </is>
      </c>
    </row>
    <row r="14" ht="22" customHeight="1">
      <c r="B14" s="4" t="inlineStr">
        <is>
          <t>SOM 비율</t>
        </is>
      </c>
      <c r="C14" s="7" t="inlineStr">
        <is>
          <t>SAM의 5% (초기 3년 목표)</t>
        </is>
      </c>
      <c r="D14" s="8" t="inlineStr">
        <is>
          <t>CrownOps 자체 설정</t>
        </is>
      </c>
    </row>
    <row r="15" ht="22" customHeight="1">
      <c r="B15" s="43" t="inlineStr">
        <is>
          <t>재제작 주요 원인 1위</t>
        </is>
      </c>
      <c r="C15" s="46" t="inlineStr">
        <is>
          <t>인상체·재료 변형 92.2%</t>
        </is>
      </c>
      <c r="D15" s="47" t="inlineStr">
        <is>
          <t>치의신보</t>
        </is>
      </c>
    </row>
    <row r="16" ht="22" customHeight="1">
      <c r="B16" s="4" t="inlineStr">
        <is>
          <t>커뮤니케이션 기인 비율</t>
        </is>
      </c>
      <c r="C16" s="7" t="inlineStr">
        <is>
          <t>60%+ 재제작이 생산 前 커뮤니케이션 문제</t>
        </is>
      </c>
      <c r="D16" s="8" t="inlineStr">
        <is>
          <t>VCAD 케이스 스터디</t>
        </is>
      </c>
    </row>
    <row r="17" ht="22" customHeight="1">
      <c r="B17" s="43" t="inlineStr">
        <is>
          <t>USD 환율</t>
        </is>
      </c>
      <c r="C17" s="46" t="inlineStr">
        <is>
          <t>1 USD = 1,380원 (2026.07 기준)</t>
        </is>
      </c>
      <c r="D17" s="47" t="inlineStr">
        <is>
          <t>환율 시트 직접 수정 가능</t>
        </is>
      </c>
    </row>
    <row r="18" ht="22" customHeight="1">
      <c r="B18" s="4" t="inlineStr">
        <is>
          <t>EUR 환율</t>
        </is>
      </c>
      <c r="C18" s="7" t="inlineStr">
        <is>
          <t>1 EUR = 1,510원 (2026.07 기준)</t>
        </is>
      </c>
      <c r="D18" s="8" t="inlineStr">
        <is>
          <t>환율 시트 직접 수정 가능</t>
        </is>
      </c>
    </row>
    <row r="25" ht="26" customHeight="1">
      <c r="B25" s="63" t="inlineStr">
        <is>
          <t>⚠️  모델 한계 및 추가 검증 필요 항목</t>
        </is>
      </c>
    </row>
    <row r="26" ht="22" customHeight="1">
      <c r="B26" s="64" t="inlineStr">
        <is>
          <t>• 월 케이스 수 분포 → 기공소 규모별 실제 조사 필요 (현재 중소 200건 가정)</t>
        </is>
      </c>
    </row>
    <row r="27" ht="22" customHeight="1">
      <c r="B27" s="64" t="inlineStr">
        <is>
          <t>• 실제 기공소 수취 기공료 단가 → 지역별·규모별 편차 존재, 직접 확인 필요</t>
        </is>
      </c>
    </row>
    <row r="28" ht="22" customHeight="1">
      <c r="B28" s="64" t="inlineStr">
        <is>
          <t>• 재제작 무료처리 vs. 유료청구 비율 → 현재 전량 손실로 보수적 가정</t>
        </is>
      </c>
    </row>
    <row r="29" ht="22" customHeight="1">
      <c r="B29" s="64" t="inlineStr">
        <is>
          <t>• CrownOps 도입에 따른 실질 개선율 → 실증 데이터 확보 후 업데이트 필요</t>
        </is>
      </c>
    </row>
    <row r="30" ht="22" customHeight="1">
      <c r="B30" s="64" t="inlineStr">
        <is>
          <t>• 보철 종류별 케이스 비중 → 믹스 비율에 따라 평균 기공료 변동 가능</t>
        </is>
      </c>
    </row>
  </sheetData>
  <mergeCells count="8">
    <mergeCell ref="B2:G2"/>
    <mergeCell ref="B28:D28"/>
    <mergeCell ref="B4:D4"/>
    <mergeCell ref="B26:D26"/>
    <mergeCell ref="B27:D27"/>
    <mergeCell ref="B30:D30"/>
    <mergeCell ref="B29:D29"/>
    <mergeCell ref="B25:D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2026-07-20T10:38:06Z</dcterms:created>
  <dcterms:modified xmlns:dcterms="http://purl.org/dc/terms/" xmlns:xsi="http://www.w3.org/2001/XMLSchema-instance" xsi:type="dcterms:W3CDTF">2026-07-20T10:38:06Z</dcterms:modified>
</cp:coreProperties>
</file>